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LIST" state="visible" r:id="rId4"/>
    <sheet sheetId="2" name="RATE" state="visible" r:id="rId5"/>
    <sheet sheetId="3" name="DF20001" state="visible" r:id="rId6"/>
    <sheet sheetId="4" name="DF20002" state="visible" r:id="rId7"/>
    <sheet sheetId="5" name="DF20003" state="visible" r:id="rId8"/>
    <sheet sheetId="6" name="DF20004" state="visible" r:id="rId9"/>
    <sheet sheetId="7" name="DF20005" state="visible" r:id="rId10"/>
    <sheet sheetId="8" name="DF20006" state="visible" r:id="rId11"/>
    <sheet sheetId="9" name="DF20007" state="visible" r:id="rId12"/>
    <sheet sheetId="10" name="DF20008" state="visible" r:id="rId13"/>
    <sheet sheetId="11" name="DF20009" state="visible" r:id="rId14"/>
    <sheet sheetId="12" name="DF20010" state="visible" r:id="rId15"/>
    <sheet sheetId="13" name="DF20011" state="visible" r:id="rId16"/>
    <sheet sheetId="14" name="DF20012" state="visible" r:id="rId17"/>
    <sheet sheetId="15" name="DF20013" state="visible" r:id="rId18"/>
    <sheet sheetId="16" name="DF20014" state="visible" r:id="rId19"/>
    <sheet sheetId="17" name="DF20015" state="visible" r:id="rId20"/>
    <sheet sheetId="18" name="DF20016" state="visible" r:id="rId21"/>
    <sheet sheetId="19" name="DF20017" state="visible" r:id="rId22"/>
    <sheet sheetId="20" name="DF20018" state="visible" r:id="rId23"/>
    <sheet sheetId="21" name="DF20019" state="visible" r:id="rId24"/>
    <sheet sheetId="22" name="DF20020" state="visible" r:id="rId25"/>
    <sheet sheetId="23" name="DF20021" state="visible" r:id="rId26"/>
    <sheet sheetId="24" name="DF20022" state="visible" r:id="rId27"/>
    <sheet sheetId="25" name="DF20023" state="visible" r:id="rId28"/>
    <sheet sheetId="26" name="DF20024" state="visible" r:id="rId29"/>
  </sheets>
  <calcPr calcId="171027" fullCalcOnLoad="1"/>
</workbook>
</file>

<file path=xl/sharedStrings.xml><?xml version="1.0" encoding="utf-8"?>
<sst xmlns="http://schemas.openxmlformats.org/spreadsheetml/2006/main" count="1217" uniqueCount="163">
  <si>
    <t>S.NO.</t>
  </si>
  <si>
    <t>IMAGE</t>
  </si>
  <si>
    <t>PRODUCT CODE</t>
  </si>
  <si>
    <t>DESCRIPTION</t>
  </si>
  <si>
    <t>SIZE IN CM</t>
  </si>
  <si>
    <t>SIZE IN INCH</t>
  </si>
  <si>
    <t>PACKING SIZE</t>
  </si>
  <si>
    <t>CBM</t>
  </si>
  <si>
    <t>PRICE ($)</t>
  </si>
  <si>
    <t>PARAMETRIC RATE ($)</t>
  </si>
  <si>
    <t>AS DISCUSSED RATE ($)</t>
  </si>
  <si>
    <t>WAGES</t>
  </si>
  <si>
    <t>LOADABILITY FOR 40FT</t>
  </si>
  <si>
    <t>DF20001</t>
  </si>
  <si>
    <t>MANGO WOOD 4 DOOR SIDEBOARD</t>
  </si>
  <si>
    <t>155X45X85</t>
  </si>
  <si>
    <t>61X18X33</t>
  </si>
  <si>
    <t>160X50X90</t>
  </si>
  <si>
    <t>DF20002</t>
  </si>
  <si>
    <t>ACACIA 6 DRAWER CHEST</t>
  </si>
  <si>
    <t>110X45X80</t>
  </si>
  <si>
    <t>43X18X31</t>
  </si>
  <si>
    <t>115X50X85</t>
  </si>
  <si>
    <t>DF20003</t>
  </si>
  <si>
    <t>WALL MOUNTED BEDSIDE SHELF</t>
  </si>
  <si>
    <t>45X35X23</t>
  </si>
  <si>
    <t>18X14X9</t>
  </si>
  <si>
    <t>50X40X28</t>
  </si>
  <si>
    <t>DF20004</t>
  </si>
  <si>
    <t>SOLID WOOD DINING TABLE 6 SEATER</t>
  </si>
  <si>
    <t>180X90X76</t>
  </si>
  <si>
    <t>71X35X30</t>
  </si>
  <si>
    <t>185X95X81</t>
  </si>
  <si>
    <t>DF20005</t>
  </si>
  <si>
    <t>ROUND COFFEE TABLE</t>
  </si>
  <si>
    <t>80X80X42</t>
  </si>
  <si>
    <t>31X31X17</t>
  </si>
  <si>
    <t>85X85X47</t>
  </si>
  <si>
    <t>DF20006</t>
  </si>
  <si>
    <t>CONSOLE TABLE WITH 2 DRAWERS</t>
  </si>
  <si>
    <t>120X38X78</t>
  </si>
  <si>
    <t>47X15X31</t>
  </si>
  <si>
    <t>125X43X83</t>
  </si>
  <si>
    <t>DF20007</t>
  </si>
  <si>
    <t>SLATTED DINING CHAIR</t>
  </si>
  <si>
    <t>45X52X88</t>
  </si>
  <si>
    <t>18X20X35</t>
  </si>
  <si>
    <t>50X57X93</t>
  </si>
  <si>
    <t>DF20008</t>
  </si>
  <si>
    <t>COUNTER BAR STOOL</t>
  </si>
  <si>
    <t>40X40X75</t>
  </si>
  <si>
    <t>16X16X30</t>
  </si>
  <si>
    <t>45X45X80</t>
  </si>
  <si>
    <t>DF20009</t>
  </si>
  <si>
    <t>ENTRYWAY BENCH WITH SHELF</t>
  </si>
  <si>
    <t>120X38X46</t>
  </si>
  <si>
    <t>47X15X18</t>
  </si>
  <si>
    <t>125X43X51</t>
  </si>
  <si>
    <t>DF20010</t>
  </si>
  <si>
    <t>FIVE TIER BOOKSHELF</t>
  </si>
  <si>
    <t>80X35X180</t>
  </si>
  <si>
    <t>31X14X71</t>
  </si>
  <si>
    <t>85X40X185</t>
  </si>
  <si>
    <t>DF20011</t>
  </si>
  <si>
    <t>TV UNIT 2 DOOR 1 DRAWER</t>
  </si>
  <si>
    <t>140X40X55</t>
  </si>
  <si>
    <t>55X16X22</t>
  </si>
  <si>
    <t>145X45X60</t>
  </si>
  <si>
    <t>DF20012</t>
  </si>
  <si>
    <t>NEST OF 2 SIDE TABLES</t>
  </si>
  <si>
    <t>50X50X55</t>
  </si>
  <si>
    <t>20X20X22</t>
  </si>
  <si>
    <t>55X55X60</t>
  </si>
  <si>
    <t>DF20013</t>
  </si>
  <si>
    <t>BAR CABINET WITH IRON FRAME</t>
  </si>
  <si>
    <t>90X45X110</t>
  </si>
  <si>
    <t>35X18X43</t>
  </si>
  <si>
    <t>95X50X115</t>
  </si>
  <si>
    <t>DF20014</t>
  </si>
  <si>
    <t>CANE DOOR CABINET</t>
  </si>
  <si>
    <t>80X40X120</t>
  </si>
  <si>
    <t>31X16X47</t>
  </si>
  <si>
    <t>85X45X125</t>
  </si>
  <si>
    <t>DF20015</t>
  </si>
  <si>
    <t>FLUTED NIGHT STAND</t>
  </si>
  <si>
    <t>45X40X60</t>
  </si>
  <si>
    <t>18X16X24</t>
  </si>
  <si>
    <t>50X45X65</t>
  </si>
  <si>
    <t>DF20016</t>
  </si>
  <si>
    <t>MIRROR WITH CARVED FRAME</t>
  </si>
  <si>
    <t>70X4X100</t>
  </si>
  <si>
    <t>28X2X39</t>
  </si>
  <si>
    <t>75X9X105</t>
  </si>
  <si>
    <t>DF20017</t>
  </si>
  <si>
    <t>KIDS STUDY DESK</t>
  </si>
  <si>
    <t>100X50X75</t>
  </si>
  <si>
    <t>39X20X30</t>
  </si>
  <si>
    <t>105X55X80</t>
  </si>
  <si>
    <t>DF20018</t>
  </si>
  <si>
    <t>DRESSING TABLE WITH MIRROR</t>
  </si>
  <si>
    <t>110X40X150</t>
  </si>
  <si>
    <t>43X16X59</t>
  </si>
  <si>
    <t>115X45X155</t>
  </si>
  <si>
    <t>DF20019</t>
  </si>
  <si>
    <t>COAT RACK 6 HOOKS</t>
  </si>
  <si>
    <t>100X8X30</t>
  </si>
  <si>
    <t>39X3X12</t>
  </si>
  <si>
    <t>105X13X35</t>
  </si>
  <si>
    <t>DF20020</t>
  </si>
  <si>
    <t>HERRINGBONE COFFEE TABLE</t>
  </si>
  <si>
    <t>110X60X40</t>
  </si>
  <si>
    <t>43X24X16</t>
  </si>
  <si>
    <t>115X65X45</t>
  </si>
  <si>
    <t>DF20021</t>
  </si>
  <si>
    <t>TURNED LEG SIDE TABLE</t>
  </si>
  <si>
    <t>45X45X55</t>
  </si>
  <si>
    <t>18X18X22</t>
  </si>
  <si>
    <t>50X50X60</t>
  </si>
  <si>
    <t>DF20022</t>
  </si>
  <si>
    <t>WINE RACK 12 BOTTLE</t>
  </si>
  <si>
    <t>45X35X90</t>
  </si>
  <si>
    <t>18X14X35</t>
  </si>
  <si>
    <t>50X40X95</t>
  </si>
  <si>
    <t>DF20023</t>
  </si>
  <si>
    <t>MARBLE TOP SIDE TABLE</t>
  </si>
  <si>
    <t>DF20024</t>
  </si>
  <si>
    <t>SHOE CABINET 3 TIER</t>
  </si>
  <si>
    <t>90X35X100</t>
  </si>
  <si>
    <t>35X14X39</t>
  </si>
  <si>
    <t>95X40X105</t>
  </si>
  <si>
    <t>LENGTH</t>
  </si>
  <si>
    <t>RATE</t>
  </si>
  <si>
    <t>L</t>
  </si>
  <si>
    <t>W</t>
  </si>
  <si>
    <t>H</t>
  </si>
  <si>
    <t>LOADABILITY</t>
  </si>
  <si>
    <t>PRODUCT SIZE</t>
  </si>
  <si>
    <t>QTY</t>
  </si>
  <si>
    <t>SFT</t>
  </si>
  <si>
    <t>TOTAL</t>
  </si>
  <si>
    <t>TOTAL WOOD</t>
  </si>
  <si>
    <t>WASTAGE 20%</t>
  </si>
  <si>
    <t>TOTAL WOOD CONSUMP.</t>
  </si>
  <si>
    <t>KFD 8%</t>
  </si>
  <si>
    <t>TRAD MARGIN/ 10%</t>
  </si>
  <si>
    <t>TOTAL PURCHASE</t>
  </si>
  <si>
    <t>KNOBS/HANDLE</t>
  </si>
  <si>
    <t>PC</t>
  </si>
  <si>
    <t>TILE</t>
  </si>
  <si>
    <t>SQ.FT</t>
  </si>
  <si>
    <t>IRON</t>
  </si>
  <si>
    <t>KG</t>
  </si>
  <si>
    <t>CNC</t>
  </si>
  <si>
    <t>MIN</t>
  </si>
  <si>
    <t>POLISH P &amp; F</t>
  </si>
  <si>
    <t>FIX</t>
  </si>
  <si>
    <t>@78</t>
  </si>
  <si>
    <t>OH 15%</t>
  </si>
  <si>
    <t>MISC 15%</t>
  </si>
  <si>
    <t>MARGIN 20%</t>
  </si>
  <si>
    <t>TOTAL COSTING</t>
  </si>
  <si>
    <t>PARAMETRIC COSTING</t>
  </si>
  <si>
    <t>KHERAD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</si>
</sst>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$-2809]#,##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FormatPr defaultRowHeight="15" outlineLevelRow="0" outlineLevelCol="0" x14ac:dyDescent="55"/>
  <cols>
    <col min="1" max="1" width="8" customWidth="1"/>
    <col min="2" max="2" width="12" customWidth="1"/>
    <col min="3" max="3" width="15" customWidth="1"/>
    <col min="4" max="4" width="36" customWidth="1"/>
    <col min="5" max="7" width="14" customWidth="1"/>
    <col min="8" max="8" width="10" customWidth="1"/>
    <col min="9" max="9" width="11" customWidth="1"/>
    <col min="10" max="10" width="20" customWidth="1"/>
    <col min="11" max="11" width="22" customWidth="1"/>
    <col min="12" max="12" width="10" customWidth="1"/>
    <col min="13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f>'DF20001'!E27</f>
        <v>0.72</v>
      </c>
      <c r="I2" s="3">
        <f>INDEX('DF20001'!H:H,MATCH("TOTAL COSTING",'DF20001'!A:A,0))</f>
        <v>181.51551553846153</v>
      </c>
      <c r="J2" s="3">
        <f>INDEX('DF20001'!H:H,MATCH("PARAMETRIC COSTING",'DF20001'!A:A,0))</f>
        <v>158.1660018648915</v>
      </c>
      <c r="K2" s="3">
        <v>240</v>
      </c>
      <c r="L2">
        <v>1100</v>
      </c>
      <c r="M2" s="4">
        <f>65/H2</f>
        <v>90.27777777777779</v>
      </c>
    </row>
    <row r="3" spans="1:13" x14ac:dyDescent="0.25">
      <c r="A3">
        <v>2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s="2">
        <f>'DF20002'!E27</f>
        <v>0.48875</v>
      </c>
      <c r="I3" s="3">
        <f>INDEX('DF20002'!H:H,MATCH("TOTAL COSTING",'DF20002'!A:A,0))</f>
        <v>130.58191538461537</v>
      </c>
      <c r="J3" s="3">
        <f>INDEX('DF20002'!H:H,MATCH("PARAMETRIC COSTING",'DF20002'!A:A,0))</f>
        <v>113.72833377712034</v>
      </c>
      <c r="K3" s="3">
        <v>185</v>
      </c>
      <c r="L3">
        <v>1000</v>
      </c>
      <c r="M3" s="4">
        <f>65/H3</f>
        <v>132.9923273657289</v>
      </c>
    </row>
    <row r="4" spans="1:13" x14ac:dyDescent="0.25">
      <c r="A4">
        <v>3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s="2">
        <f>'DF20003'!E22</f>
        <v>0.056</v>
      </c>
      <c r="I4" s="3">
        <f>INDEX('DF20003'!H:H,MATCH("TOTAL COSTING",'DF20003'!A:A,0))</f>
        <v>26.343361230769233</v>
      </c>
      <c r="J4" s="3">
        <f>INDEX('DF20003'!H:H,MATCH("PARAMETRIC COSTING",'DF20003'!A:A,0))</f>
        <v>22.929658548323474</v>
      </c>
      <c r="K4" s="3">
        <v>40</v>
      </c>
      <c r="L4">
        <v>380</v>
      </c>
      <c r="M4" s="4">
        <f>65/H4</f>
        <v>1160.7142857142858</v>
      </c>
    </row>
    <row r="5" spans="1:13" x14ac:dyDescent="0.25">
      <c r="A5">
        <v>4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s="2">
        <f>'DF20004'!E24</f>
        <v>1.423575</v>
      </c>
      <c r="I5" s="3">
        <f>INDEX('DF20004'!H:H,MATCH("TOTAL COSTING",'DF20004'!A:A,0))</f>
        <v>241.38886092307695</v>
      </c>
      <c r="J5" s="3">
        <f>INDEX('DF20004'!H:H,MATCH("PARAMETRIC COSTING",'DF20004'!A:A,0))</f>
        <v>213.0454807061144</v>
      </c>
      <c r="K5" s="3">
        <v>260</v>
      </c>
      <c r="L5">
        <v>1300</v>
      </c>
      <c r="M5" s="4">
        <f>65/H5</f>
        <v>45.6596947825018</v>
      </c>
    </row>
    <row r="6" spans="1:13" x14ac:dyDescent="0.25">
      <c r="A6">
        <v>5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s="2">
        <f>'DF20005'!E24</f>
        <v>0.339575</v>
      </c>
      <c r="I6" s="3">
        <f>INDEX('DF20005'!H:H,MATCH("TOTAL COSTING",'DF20005'!A:A,0))</f>
        <v>70.0781673846154</v>
      </c>
      <c r="J6" s="3">
        <f>INDEX('DF20005'!H:H,MATCH("PARAMETRIC COSTING",'DF20005'!A:A,0))</f>
        <v>61.387169238658785</v>
      </c>
      <c r="K6" s="3">
        <v>95</v>
      </c>
      <c r="L6">
        <v>550</v>
      </c>
      <c r="M6" s="4">
        <f>65/H6</f>
        <v>191.41574026356474</v>
      </c>
    </row>
    <row r="7" spans="1:13" x14ac:dyDescent="0.25">
      <c r="A7">
        <v>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s="2">
        <f>'DF20006'!E24</f>
        <v>0.446125</v>
      </c>
      <c r="I7" s="3">
        <f>INDEX('DF20006'!H:H,MATCH("TOTAL COSTING",'DF20006'!A:A,0))</f>
        <v>90.32969076923075</v>
      </c>
      <c r="J7" s="3">
        <f>INDEX('DF20006'!H:H,MATCH("PARAMETRIC COSTING",'DF20006'!A:A,0))</f>
        <v>79.26154101577909</v>
      </c>
      <c r="K7" s="3">
        <v>120</v>
      </c>
      <c r="L7">
        <v>650</v>
      </c>
      <c r="M7" s="4">
        <f>65/H7</f>
        <v>145.69907537125246</v>
      </c>
    </row>
    <row r="8" spans="1:13" x14ac:dyDescent="0.25">
      <c r="A8">
        <v>7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s="2">
        <f>'DF20007'!E24</f>
        <v>0.26505</v>
      </c>
      <c r="I8" s="3">
        <f>INDEX('DF20007'!H:H,MATCH("TOTAL COSTING",'DF20007'!A:A,0))</f>
        <v>49.66186615384616</v>
      </c>
      <c r="J8" s="3">
        <f>INDEX('DF20007'!H:H,MATCH("PARAMETRIC COSTING",'DF20007'!A:A,0))</f>
        <v>43.65603286982249</v>
      </c>
      <c r="K8" s="3">
        <v>55</v>
      </c>
      <c r="L8">
        <v>420</v>
      </c>
      <c r="M8" s="4">
        <f>65/H8</f>
        <v>245.23674778343707</v>
      </c>
    </row>
    <row r="9" spans="1:13" x14ac:dyDescent="0.25">
      <c r="A9">
        <v>8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s="2">
        <f>'DF20008'!E24</f>
        <v>0.162</v>
      </c>
      <c r="I9" s="3">
        <f>INDEX('DF20008'!H:H,MATCH("TOTAL COSTING",'DF20008'!A:A,0))</f>
        <v>39.78656584615385</v>
      </c>
      <c r="J9" s="3">
        <f>INDEX('DF20008'!H:H,MATCH("PARAMETRIC COSTING",'DF20008'!A:A,0))</f>
        <v>35.00869605325444</v>
      </c>
      <c r="K9" s="3">
        <v>42</v>
      </c>
      <c r="L9">
        <v>300</v>
      </c>
      <c r="M9" s="4">
        <f>65/H9</f>
        <v>401.2345679012345</v>
      </c>
    </row>
    <row r="10" spans="1:13" x14ac:dyDescent="0.25">
      <c r="A10">
        <v>9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s="2">
        <f>'DF20009'!E24</f>
        <v>0.274125</v>
      </c>
      <c r="I10" s="3">
        <f>INDEX('DF20009'!H:H,MATCH("TOTAL COSTING",'DF20009'!A:A,0))</f>
        <v>57.37887384615385</v>
      </c>
      <c r="J10" s="3">
        <f>INDEX('DF20009'!H:H,MATCH("PARAMETRIC COSTING",'DF20009'!A:A,0))</f>
        <v>50.23826418145958</v>
      </c>
      <c r="K10" s="3">
        <v>85</v>
      </c>
      <c r="L10">
        <v>500</v>
      </c>
      <c r="M10" s="4">
        <f>65/H10</f>
        <v>237.11810305517554</v>
      </c>
    </row>
    <row r="11" spans="1:13" x14ac:dyDescent="0.25">
      <c r="A11">
        <v>10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s="2">
        <f>'DF20010'!E27</f>
        <v>0.629</v>
      </c>
      <c r="I11" s="3">
        <f>INDEX('DF20010'!H:H,MATCH("TOTAL COSTING",'DF20010'!A:A,0))</f>
        <v>149.62153753846152</v>
      </c>
      <c r="J11" s="3">
        <f>INDEX('DF20010'!H:H,MATCH("PARAMETRIC COSTING",'DF20010'!A:A,0))</f>
        <v>130.46311021104535</v>
      </c>
      <c r="K11" s="3">
        <v>150</v>
      </c>
      <c r="L11">
        <v>800</v>
      </c>
      <c r="M11" s="4">
        <f>65/H11</f>
        <v>103.33863275039745</v>
      </c>
    </row>
    <row r="12" spans="1:13" x14ac:dyDescent="0.25">
      <c r="A12">
        <v>11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s="2">
        <f>'DF20011'!E27</f>
        <v>0.3915</v>
      </c>
      <c r="I12" s="3">
        <f>INDEX('DF20011'!H:H,MATCH("TOTAL COSTING",'DF20011'!A:A,0))</f>
        <v>115.85305846153847</v>
      </c>
      <c r="J12" s="3">
        <f>INDEX('DF20011'!H:H,MATCH("PARAMETRIC COSTING",'DF20011'!A:A,0))</f>
        <v>100.54134130177515</v>
      </c>
      <c r="K12" s="3">
        <v>145</v>
      </c>
      <c r="L12">
        <v>750</v>
      </c>
      <c r="M12" s="4">
        <f>65/H12</f>
        <v>166.0280970625798</v>
      </c>
    </row>
    <row r="13" spans="1:13" x14ac:dyDescent="0.25">
      <c r="A13">
        <v>12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 s="2">
        <f>'DF20012'!E24</f>
        <v>0.1815</v>
      </c>
      <c r="I13" s="3">
        <f>INDEX('DF20012'!H:H,MATCH("TOTAL COSTING",'DF20012'!A:A,0))</f>
        <v>41.61848984615384</v>
      </c>
      <c r="J13" s="3">
        <f>INDEX('DF20012'!H:H,MATCH("PARAMETRIC COSTING",'DF20012'!A:A,0))</f>
        <v>36.3304453096647</v>
      </c>
      <c r="K13" s="3">
        <v>60</v>
      </c>
      <c r="L13">
        <v>400</v>
      </c>
      <c r="M13" s="4">
        <f>65/H13</f>
        <v>358.1267217630854</v>
      </c>
    </row>
    <row r="14" spans="1:13" x14ac:dyDescent="0.25">
      <c r="A14">
        <v>13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s="2">
        <f>'DF20013'!E27</f>
        <v>0.54625</v>
      </c>
      <c r="I14" s="3">
        <f>INDEX('DF20013'!H:H,MATCH("TOTAL COSTING",'DF20013'!A:A,0))</f>
        <v>154.86572707692306</v>
      </c>
      <c r="J14" s="3">
        <f>INDEX('DF20013'!H:H,MATCH("PARAMETRIC COSTING",'DF20013'!A:A,0))</f>
        <v>135.50866101183433</v>
      </c>
      <c r="K14" s="3">
        <v>220</v>
      </c>
      <c r="L14">
        <v>1050</v>
      </c>
      <c r="M14" s="4">
        <f>65/H14</f>
        <v>118.99313501144165</v>
      </c>
    </row>
    <row r="15" spans="1:13" x14ac:dyDescent="0.25">
      <c r="A15">
        <v>14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  <c r="H15" s="2">
        <f>'DF20014'!E27</f>
        <v>0.478125</v>
      </c>
      <c r="I15" s="3">
        <f>INDEX('DF20014'!H:H,MATCH("TOTAL COSTING",'DF20014'!A:A,0))</f>
        <v>122.6136206153846</v>
      </c>
      <c r="J15" s="3">
        <f>INDEX('DF20014'!H:H,MATCH("PARAMETRIC COSTING",'DF20014'!A:A,0))</f>
        <v>106.76072376134121</v>
      </c>
      <c r="K15" s="3">
        <v>190</v>
      </c>
      <c r="L15">
        <v>950</v>
      </c>
      <c r="M15" s="4">
        <f>65/H15</f>
        <v>135.94771241830065</v>
      </c>
    </row>
    <row r="16" spans="1:13" x14ac:dyDescent="0.25">
      <c r="A16">
        <v>15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  <c r="H16" s="2">
        <f>'DF20015'!E27</f>
        <v>0.14625</v>
      </c>
      <c r="I16" s="3">
        <f>INDEX('DF20015'!H:H,MATCH("TOTAL COSTING",'DF20015'!A:A,0))</f>
        <v>48.749904</v>
      </c>
      <c r="J16" s="3">
        <f>INDEX('DF20015'!H:H,MATCH("PARAMETRIC COSTING",'DF20015'!A:A,0))</f>
        <v>42.25006451282051</v>
      </c>
      <c r="K16" s="3">
        <v>58</v>
      </c>
      <c r="L16">
        <v>380</v>
      </c>
      <c r="M16" s="4">
        <f>65/H16</f>
        <v>444.44444444444446</v>
      </c>
    </row>
    <row r="17" spans="1:13" x14ac:dyDescent="0.25">
      <c r="A17">
        <v>16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  <c r="H17" s="2">
        <f>'DF20016'!E22</f>
        <v>0.070875</v>
      </c>
      <c r="I17" s="3">
        <f>INDEX('DF20016'!H:H,MATCH("TOTAL COSTING",'DF20016'!A:A,0))</f>
        <v>37.216084307692306</v>
      </c>
      <c r="J17" s="3">
        <f>INDEX('DF20016'!H:H,MATCH("PARAMETRIC COSTING",'DF20016'!A:A,0))</f>
        <v>32.85769671400394</v>
      </c>
      <c r="K17" s="3">
        <v>65</v>
      </c>
      <c r="L17">
        <v>350</v>
      </c>
      <c r="M17" s="4">
        <f>65/H17</f>
        <v>917.1075837742505</v>
      </c>
    </row>
    <row r="18" spans="1:13" x14ac:dyDescent="0.25">
      <c r="A18">
        <v>17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H18" s="2">
        <f>'DF20017'!E24</f>
        <v>0.462</v>
      </c>
      <c r="I18" s="3">
        <f>INDEX('DF20017'!H:H,MATCH("TOTAL COSTING",'DF20017'!A:A,0))</f>
        <v>88.60343015384618</v>
      </c>
      <c r="J18" s="3">
        <f>INDEX('DF20017'!H:H,MATCH("PARAMETRIC COSTING",'DF20017'!A:A,0))</f>
        <v>77.86070033136096</v>
      </c>
      <c r="K18" s="3">
        <v>110</v>
      </c>
      <c r="L18">
        <v>600</v>
      </c>
      <c r="M18" s="4">
        <f>65/H18</f>
        <v>140.69264069264068</v>
      </c>
    </row>
    <row r="19" spans="1:13" x14ac:dyDescent="0.25">
      <c r="A19">
        <v>18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  <c r="H19" s="2">
        <f>'DF20018'!E27</f>
        <v>0.802125</v>
      </c>
      <c r="I19" s="3">
        <f>INDEX('DF20018'!H:H,MATCH("TOTAL COSTING",'DF20018'!A:A,0))</f>
        <v>193.1008563076923</v>
      </c>
      <c r="J19" s="3">
        <f>INDEX('DF20018'!H:H,MATCH("PARAMETRIC COSTING",'DF20018'!A:A,0))</f>
        <v>169.06620730374755</v>
      </c>
      <c r="K19" s="3">
        <v>210</v>
      </c>
      <c r="L19">
        <v>1000</v>
      </c>
      <c r="M19" s="4">
        <f>65/H19</f>
        <v>81.03475144148356</v>
      </c>
    </row>
    <row r="20" spans="1:13" x14ac:dyDescent="0.25">
      <c r="A20">
        <v>19</v>
      </c>
      <c r="C20" t="s">
        <v>103</v>
      </c>
      <c r="D20" t="s">
        <v>104</v>
      </c>
      <c r="E20" t="s">
        <v>105</v>
      </c>
      <c r="F20" t="s">
        <v>106</v>
      </c>
      <c r="G20" t="s">
        <v>107</v>
      </c>
      <c r="H20" s="2">
        <f>'DF20019'!E22</f>
        <v>0.047775</v>
      </c>
      <c r="I20" s="3">
        <f>INDEX('DF20019'!H:H,MATCH("TOTAL COSTING",'DF20019'!A:A,0))</f>
        <v>15.604584000000001</v>
      </c>
      <c r="J20" s="3">
        <f>INDEX('DF20019'!H:H,MATCH("PARAMETRIC COSTING",'DF20019'!A:A,0))</f>
        <v>13.669435538461538</v>
      </c>
      <c r="K20" s="3">
        <v>25</v>
      </c>
      <c r="L20">
        <v>150</v>
      </c>
      <c r="M20" s="4">
        <f>65/H20</f>
        <v>1360.544217687075</v>
      </c>
    </row>
    <row r="21" spans="1:13" x14ac:dyDescent="0.25">
      <c r="A21">
        <v>20</v>
      </c>
      <c r="C21" t="s">
        <v>108</v>
      </c>
      <c r="D21" t="s">
        <v>109</v>
      </c>
      <c r="E21" t="s">
        <v>110</v>
      </c>
      <c r="F21" t="s">
        <v>111</v>
      </c>
      <c r="G21" t="s">
        <v>112</v>
      </c>
      <c r="H21" s="2">
        <f>'DF20020'!E24</f>
        <v>0.336375</v>
      </c>
      <c r="I21" s="3">
        <f>INDEX('DF20020'!H:H,MATCH("TOTAL COSTING",'DF20020'!A:A,0))</f>
        <v>75.999832</v>
      </c>
      <c r="J21" s="3">
        <f>INDEX('DF20020'!H:H,MATCH("PARAMETRIC COSTING",'DF20020'!A:A,0))</f>
        <v>66.51413533333333</v>
      </c>
      <c r="K21" s="3">
        <v>135</v>
      </c>
      <c r="L21">
        <v>700</v>
      </c>
      <c r="M21" s="4">
        <f>65/H21</f>
        <v>193.23671497584542</v>
      </c>
    </row>
    <row r="22" spans="1:13" x14ac:dyDescent="0.25">
      <c r="A22">
        <v>21</v>
      </c>
      <c r="C22" t="s">
        <v>113</v>
      </c>
      <c r="D22" t="s">
        <v>114</v>
      </c>
      <c r="E22" t="s">
        <v>115</v>
      </c>
      <c r="F22" t="s">
        <v>116</v>
      </c>
      <c r="G22" t="s">
        <v>117</v>
      </c>
      <c r="H22" s="2">
        <f>'DF20021'!E25</f>
        <v>0.15</v>
      </c>
      <c r="I22" s="3">
        <f>INDEX('DF20021'!H:H,MATCH("TOTAL COSTING",'DF20021'!A:A,0))</f>
        <v>40.30152615384615</v>
      </c>
      <c r="J22" s="3">
        <f>INDEX('DF20021'!H:H,MATCH("PARAMETRIC COSTING",'DF20021'!A:A,0))</f>
        <v>35.298892228796845</v>
      </c>
      <c r="K22" s="3">
        <v>48</v>
      </c>
      <c r="L22">
        <v>320</v>
      </c>
      <c r="M22" s="4">
        <f>65/H22</f>
        <v>433.33333333333337</v>
      </c>
    </row>
    <row r="23" spans="1:13" x14ac:dyDescent="0.25">
      <c r="A23">
        <v>22</v>
      </c>
      <c r="C23" t="s">
        <v>118</v>
      </c>
      <c r="D23" t="s">
        <v>119</v>
      </c>
      <c r="E23" t="s">
        <v>120</v>
      </c>
      <c r="F23" t="s">
        <v>121</v>
      </c>
      <c r="G23" t="s">
        <v>122</v>
      </c>
      <c r="H23" s="2">
        <f>'DF20022'!E27</f>
        <v>0.19</v>
      </c>
      <c r="I23" s="3">
        <f>INDEX('DF20022'!H:H,MATCH("TOTAL COSTING",'DF20022'!A:A,0))</f>
        <v>55.964214461538454</v>
      </c>
      <c r="J23" s="3">
        <f>INDEX('DF20022'!H:H,MATCH("PARAMETRIC COSTING",'DF20022'!A:A,0))</f>
        <v>48.51411948126232</v>
      </c>
      <c r="K23" s="3">
        <v>70</v>
      </c>
      <c r="L23">
        <v>400</v>
      </c>
      <c r="M23" s="4">
        <f>65/H23</f>
        <v>342.10526315789474</v>
      </c>
    </row>
    <row r="24" spans="1:13" x14ac:dyDescent="0.25">
      <c r="A24">
        <v>23</v>
      </c>
      <c r="C24" t="s">
        <v>123</v>
      </c>
      <c r="D24" t="s">
        <v>124</v>
      </c>
      <c r="E24" t="s">
        <v>70</v>
      </c>
      <c r="F24" t="s">
        <v>71</v>
      </c>
      <c r="G24" t="s">
        <v>72</v>
      </c>
      <c r="H24" s="2">
        <f>'DF20023'!E24</f>
        <v>0.1815</v>
      </c>
      <c r="I24" s="3">
        <f>INDEX('DF20023'!H:H,MATCH("TOTAL COSTING",'DF20023'!A:A,0))</f>
        <v>51.97848984615384</v>
      </c>
      <c r="J24" s="3">
        <f>INDEX('DF20023'!H:H,MATCH("PARAMETRIC COSTING",'DF20023'!A:A,0))</f>
        <v>45.71993248915187</v>
      </c>
      <c r="K24" s="3">
        <v>85</v>
      </c>
      <c r="L24">
        <v>380</v>
      </c>
      <c r="M24" s="4">
        <f>65/H24</f>
        <v>358.1267217630854</v>
      </c>
    </row>
    <row r="25" spans="1:13" x14ac:dyDescent="0.25">
      <c r="A25">
        <v>24</v>
      </c>
      <c r="C25" t="s">
        <v>125</v>
      </c>
      <c r="D25" t="s">
        <v>126</v>
      </c>
      <c r="E25" t="s">
        <v>127</v>
      </c>
      <c r="F25" t="s">
        <v>128</v>
      </c>
      <c r="G25" t="s">
        <v>129</v>
      </c>
      <c r="H25" s="2">
        <f>'DF20024'!E27</f>
        <v>0.399</v>
      </c>
      <c r="I25" s="3">
        <f>INDEX('DF20024'!H:H,MATCH("TOTAL COSTING",'DF20024'!A:A,0))</f>
        <v>101.80907476923075</v>
      </c>
      <c r="J25" s="3">
        <f>INDEX('DF20024'!H:H,MATCH("PARAMETRIC COSTING",'DF20024'!A:A,0))</f>
        <v>88.67243040039448</v>
      </c>
      <c r="K25" s="3">
        <v>125</v>
      </c>
      <c r="L25">
        <v>650</v>
      </c>
      <c r="M25" s="4">
        <f>65/H25</f>
        <v>162.90726817042605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6"/>
  <sheetFormatPr defaultRowHeight="15" outlineLevelRow="0" outlineLevelCol="0" x14ac:dyDescent="55"/>
  <cols>
    <col min="1" max="2" width="10" customWidth="1"/>
  </cols>
  <sheetData>
    <row r="1" spans="1:2" x14ac:dyDescent="0.25">
      <c r="A1" t="s">
        <v>130</v>
      </c>
      <c r="B1" t="s">
        <v>131</v>
      </c>
    </row>
    <row r="2" spans="1:2" x14ac:dyDescent="0.25">
      <c r="A2">
        <v>6</v>
      </c>
      <c r="B2">
        <v>42</v>
      </c>
    </row>
    <row r="3" spans="1:2" x14ac:dyDescent="0.25">
      <c r="A3">
        <v>7</v>
      </c>
      <c r="B3">
        <v>42</v>
      </c>
    </row>
    <row r="4" spans="1:2" x14ac:dyDescent="0.25">
      <c r="A4">
        <v>8</v>
      </c>
      <c r="B4">
        <v>42</v>
      </c>
    </row>
    <row r="5" spans="1:2" x14ac:dyDescent="0.25">
      <c r="A5">
        <v>9</v>
      </c>
      <c r="B5">
        <v>42</v>
      </c>
    </row>
    <row r="6" spans="1:2" x14ac:dyDescent="0.25">
      <c r="A6">
        <v>10</v>
      </c>
      <c r="B6">
        <v>42</v>
      </c>
    </row>
    <row r="7" spans="1:2" x14ac:dyDescent="0.25">
      <c r="A7">
        <v>11</v>
      </c>
      <c r="B7">
        <v>42</v>
      </c>
    </row>
    <row r="8" spans="1:2" x14ac:dyDescent="0.25">
      <c r="A8">
        <v>12</v>
      </c>
      <c r="B8">
        <v>42</v>
      </c>
    </row>
    <row r="9" spans="1:2" x14ac:dyDescent="0.25">
      <c r="A9">
        <v>13</v>
      </c>
      <c r="B9">
        <v>42</v>
      </c>
    </row>
    <row r="10" spans="1:2" x14ac:dyDescent="0.25">
      <c r="A10">
        <v>14</v>
      </c>
      <c r="B10">
        <v>42</v>
      </c>
    </row>
    <row r="11" spans="1:2" x14ac:dyDescent="0.25">
      <c r="A11">
        <v>15</v>
      </c>
      <c r="B11">
        <v>42</v>
      </c>
    </row>
    <row r="12" spans="1:2" x14ac:dyDescent="0.25">
      <c r="A12">
        <v>16</v>
      </c>
      <c r="B12">
        <v>42</v>
      </c>
    </row>
    <row r="13" spans="1:2" x14ac:dyDescent="0.25">
      <c r="A13">
        <v>17</v>
      </c>
      <c r="B13">
        <v>42</v>
      </c>
    </row>
    <row r="14" spans="1:2" x14ac:dyDescent="0.25">
      <c r="A14">
        <v>18</v>
      </c>
      <c r="B14">
        <v>42</v>
      </c>
    </row>
    <row r="15" spans="1:2" x14ac:dyDescent="0.25">
      <c r="A15">
        <v>19</v>
      </c>
      <c r="B15">
        <v>42</v>
      </c>
    </row>
    <row r="16" spans="1:2" x14ac:dyDescent="0.25">
      <c r="A16">
        <v>20</v>
      </c>
      <c r="B16">
        <v>42</v>
      </c>
    </row>
    <row r="17" spans="1:2" x14ac:dyDescent="0.25">
      <c r="A17">
        <v>21</v>
      </c>
      <c r="B17">
        <v>42</v>
      </c>
    </row>
    <row r="18" spans="1:2" x14ac:dyDescent="0.25">
      <c r="A18">
        <v>22</v>
      </c>
      <c r="B18">
        <v>42</v>
      </c>
    </row>
    <row r="19" spans="1:2" x14ac:dyDescent="0.25">
      <c r="A19">
        <v>23</v>
      </c>
      <c r="B19">
        <v>42</v>
      </c>
    </row>
    <row r="20" spans="1:2" x14ac:dyDescent="0.25">
      <c r="A20">
        <v>24</v>
      </c>
      <c r="B20">
        <v>42</v>
      </c>
    </row>
    <row r="21" spans="1:2" x14ac:dyDescent="0.25">
      <c r="A21">
        <v>25</v>
      </c>
      <c r="B21">
        <v>52</v>
      </c>
    </row>
    <row r="22" spans="1:2" x14ac:dyDescent="0.25">
      <c r="A22">
        <v>26</v>
      </c>
      <c r="B22">
        <v>52</v>
      </c>
    </row>
    <row r="23" spans="1:2" x14ac:dyDescent="0.25">
      <c r="A23">
        <v>27</v>
      </c>
      <c r="B23">
        <v>52</v>
      </c>
    </row>
    <row r="24" spans="1:2" x14ac:dyDescent="0.25">
      <c r="A24">
        <v>28</v>
      </c>
      <c r="B24">
        <v>52</v>
      </c>
    </row>
    <row r="25" spans="1:2" x14ac:dyDescent="0.25">
      <c r="A25">
        <v>29</v>
      </c>
      <c r="B25">
        <v>52</v>
      </c>
    </row>
    <row r="26" spans="1:2" x14ac:dyDescent="0.25">
      <c r="A26">
        <v>30</v>
      </c>
      <c r="B26">
        <v>52</v>
      </c>
    </row>
    <row r="27" spans="1:2" x14ac:dyDescent="0.25">
      <c r="A27">
        <v>31</v>
      </c>
      <c r="B27">
        <v>52</v>
      </c>
    </row>
    <row r="28" spans="1:2" x14ac:dyDescent="0.25">
      <c r="A28">
        <v>32</v>
      </c>
      <c r="B28">
        <v>52</v>
      </c>
    </row>
    <row r="29" spans="1:2" x14ac:dyDescent="0.25">
      <c r="A29">
        <v>33</v>
      </c>
      <c r="B29">
        <v>52</v>
      </c>
    </row>
    <row r="30" spans="1:2" x14ac:dyDescent="0.25">
      <c r="A30">
        <v>34</v>
      </c>
      <c r="B30">
        <v>52</v>
      </c>
    </row>
    <row r="31" spans="1:2" x14ac:dyDescent="0.25">
      <c r="A31">
        <v>35</v>
      </c>
      <c r="B31">
        <v>52</v>
      </c>
    </row>
    <row r="32" spans="1:2" x14ac:dyDescent="0.25">
      <c r="A32">
        <v>36</v>
      </c>
      <c r="B32">
        <v>52</v>
      </c>
    </row>
    <row r="33" spans="1:2" x14ac:dyDescent="0.25">
      <c r="A33">
        <v>37</v>
      </c>
      <c r="B33">
        <v>52</v>
      </c>
    </row>
    <row r="34" spans="1:2" x14ac:dyDescent="0.25">
      <c r="A34">
        <v>38</v>
      </c>
      <c r="B34">
        <v>52</v>
      </c>
    </row>
    <row r="35" spans="1:2" x14ac:dyDescent="0.25">
      <c r="A35">
        <v>39</v>
      </c>
      <c r="B35">
        <v>52</v>
      </c>
    </row>
    <row r="36" spans="1:2" x14ac:dyDescent="0.25">
      <c r="A36">
        <v>40</v>
      </c>
      <c r="B36">
        <v>52</v>
      </c>
    </row>
    <row r="37" spans="1:2" x14ac:dyDescent="0.25">
      <c r="A37">
        <v>41</v>
      </c>
      <c r="B37">
        <v>52</v>
      </c>
    </row>
    <row r="38" spans="1:2" x14ac:dyDescent="0.25">
      <c r="A38">
        <v>42</v>
      </c>
      <c r="B38">
        <v>52</v>
      </c>
    </row>
    <row r="39" spans="1:2" x14ac:dyDescent="0.25">
      <c r="A39">
        <v>43</v>
      </c>
      <c r="B39">
        <v>52</v>
      </c>
    </row>
    <row r="40" spans="1:2" x14ac:dyDescent="0.25">
      <c r="A40">
        <v>44</v>
      </c>
      <c r="B40">
        <v>52</v>
      </c>
    </row>
    <row r="41" spans="1:2" x14ac:dyDescent="0.25">
      <c r="A41">
        <v>45</v>
      </c>
      <c r="B41">
        <v>52</v>
      </c>
    </row>
    <row r="42" spans="1:2" x14ac:dyDescent="0.25">
      <c r="A42">
        <v>46</v>
      </c>
      <c r="B42">
        <v>52</v>
      </c>
    </row>
    <row r="43" spans="1:2" x14ac:dyDescent="0.25">
      <c r="A43">
        <v>47</v>
      </c>
      <c r="B43">
        <v>52</v>
      </c>
    </row>
    <row r="44" spans="1:2" x14ac:dyDescent="0.25">
      <c r="A44">
        <v>48</v>
      </c>
      <c r="B44">
        <v>52</v>
      </c>
    </row>
    <row r="45" spans="1:2" x14ac:dyDescent="0.25">
      <c r="A45">
        <v>49</v>
      </c>
      <c r="B45">
        <v>62</v>
      </c>
    </row>
    <row r="46" spans="1:2" x14ac:dyDescent="0.25">
      <c r="A46">
        <v>50</v>
      </c>
      <c r="B46">
        <v>62</v>
      </c>
    </row>
    <row r="47" spans="1:2" x14ac:dyDescent="0.25">
      <c r="A47">
        <v>51</v>
      </c>
      <c r="B47">
        <v>62</v>
      </c>
    </row>
    <row r="48" spans="1:2" x14ac:dyDescent="0.25">
      <c r="A48">
        <v>52</v>
      </c>
      <c r="B48">
        <v>62</v>
      </c>
    </row>
    <row r="49" spans="1:2" x14ac:dyDescent="0.25">
      <c r="A49">
        <v>53</v>
      </c>
      <c r="B49">
        <v>62</v>
      </c>
    </row>
    <row r="50" spans="1:2" x14ac:dyDescent="0.25">
      <c r="A50">
        <v>54</v>
      </c>
      <c r="B50">
        <v>62</v>
      </c>
    </row>
    <row r="51" spans="1:2" x14ac:dyDescent="0.25">
      <c r="A51">
        <v>55</v>
      </c>
      <c r="B51">
        <v>62</v>
      </c>
    </row>
    <row r="52" spans="1:2" x14ac:dyDescent="0.25">
      <c r="A52">
        <v>56</v>
      </c>
      <c r="B52">
        <v>62</v>
      </c>
    </row>
    <row r="53" spans="1:2" x14ac:dyDescent="0.25">
      <c r="A53">
        <v>57</v>
      </c>
      <c r="B53">
        <v>62</v>
      </c>
    </row>
    <row r="54" spans="1:2" x14ac:dyDescent="0.25">
      <c r="A54">
        <v>58</v>
      </c>
      <c r="B54">
        <v>62</v>
      </c>
    </row>
    <row r="55" spans="1:2" x14ac:dyDescent="0.25">
      <c r="A55">
        <v>59</v>
      </c>
      <c r="B55">
        <v>62</v>
      </c>
    </row>
    <row r="56" spans="1:2" x14ac:dyDescent="0.25">
      <c r="A56">
        <v>60</v>
      </c>
      <c r="B56">
        <v>62</v>
      </c>
    </row>
    <row r="57" spans="1:2" x14ac:dyDescent="0.25">
      <c r="A57">
        <v>61</v>
      </c>
      <c r="B57">
        <v>62</v>
      </c>
    </row>
    <row r="58" spans="1:2" x14ac:dyDescent="0.25">
      <c r="A58">
        <v>62</v>
      </c>
      <c r="B58">
        <v>62</v>
      </c>
    </row>
    <row r="59" spans="1:2" x14ac:dyDescent="0.25">
      <c r="A59">
        <v>63</v>
      </c>
      <c r="B59">
        <v>62</v>
      </c>
    </row>
    <row r="60" spans="1:2" x14ac:dyDescent="0.25">
      <c r="A60">
        <v>64</v>
      </c>
      <c r="B60">
        <v>62</v>
      </c>
    </row>
    <row r="61" spans="1:2" x14ac:dyDescent="0.25">
      <c r="A61">
        <v>65</v>
      </c>
      <c r="B61">
        <v>62</v>
      </c>
    </row>
    <row r="62" spans="1:2" x14ac:dyDescent="0.25">
      <c r="A62">
        <v>66</v>
      </c>
      <c r="B62">
        <v>62</v>
      </c>
    </row>
    <row r="63" spans="1:2" x14ac:dyDescent="0.25">
      <c r="A63">
        <v>67</v>
      </c>
      <c r="B63">
        <v>62</v>
      </c>
    </row>
    <row r="64" spans="1:2" x14ac:dyDescent="0.25">
      <c r="A64">
        <v>68</v>
      </c>
      <c r="B64">
        <v>62</v>
      </c>
    </row>
    <row r="65" spans="1:2" x14ac:dyDescent="0.25">
      <c r="A65">
        <v>69</v>
      </c>
      <c r="B65">
        <v>62</v>
      </c>
    </row>
    <row r="66" spans="1:2" x14ac:dyDescent="0.25">
      <c r="A66">
        <v>70</v>
      </c>
      <c r="B66">
        <v>62</v>
      </c>
    </row>
    <row r="67" spans="1:2" x14ac:dyDescent="0.25">
      <c r="A67">
        <v>71</v>
      </c>
      <c r="B67">
        <v>62</v>
      </c>
    </row>
    <row r="68" spans="1:2" x14ac:dyDescent="0.25">
      <c r="A68">
        <v>72</v>
      </c>
      <c r="B68">
        <v>62</v>
      </c>
    </row>
    <row r="69" spans="1:2" x14ac:dyDescent="0.25">
      <c r="A69">
        <v>73</v>
      </c>
      <c r="B69">
        <v>72</v>
      </c>
    </row>
    <row r="70" spans="1:2" x14ac:dyDescent="0.25">
      <c r="A70">
        <v>74</v>
      </c>
      <c r="B70">
        <v>72</v>
      </c>
    </row>
    <row r="71" spans="1:2" x14ac:dyDescent="0.25">
      <c r="A71">
        <v>75</v>
      </c>
      <c r="B71">
        <v>72</v>
      </c>
    </row>
    <row r="72" spans="1:2" x14ac:dyDescent="0.25">
      <c r="A72">
        <v>76</v>
      </c>
      <c r="B72">
        <v>72</v>
      </c>
    </row>
    <row r="73" spans="1:2" x14ac:dyDescent="0.25">
      <c r="A73">
        <v>77</v>
      </c>
      <c r="B73">
        <v>72</v>
      </c>
    </row>
    <row r="74" spans="1:2" x14ac:dyDescent="0.25">
      <c r="A74">
        <v>78</v>
      </c>
      <c r="B74">
        <v>72</v>
      </c>
    </row>
    <row r="75" spans="1:2" x14ac:dyDescent="0.25">
      <c r="A75">
        <v>79</v>
      </c>
      <c r="B75">
        <v>72</v>
      </c>
    </row>
    <row r="76" spans="1:2" x14ac:dyDescent="0.25">
      <c r="A76">
        <v>80</v>
      </c>
      <c r="B76">
        <v>72</v>
      </c>
    </row>
    <row r="77" spans="1:2" x14ac:dyDescent="0.25">
      <c r="A77">
        <v>81</v>
      </c>
      <c r="B77">
        <v>72</v>
      </c>
    </row>
    <row r="78" spans="1:2" x14ac:dyDescent="0.25">
      <c r="A78">
        <v>82</v>
      </c>
      <c r="B78">
        <v>72</v>
      </c>
    </row>
    <row r="79" spans="1:2" x14ac:dyDescent="0.25">
      <c r="A79">
        <v>83</v>
      </c>
      <c r="B79">
        <v>72</v>
      </c>
    </row>
    <row r="80" spans="1:2" x14ac:dyDescent="0.25">
      <c r="A80">
        <v>84</v>
      </c>
      <c r="B80">
        <v>72</v>
      </c>
    </row>
    <row r="81" spans="1:2" x14ac:dyDescent="0.25">
      <c r="A81">
        <v>85</v>
      </c>
      <c r="B81">
        <v>72</v>
      </c>
    </row>
    <row r="82" spans="1:2" x14ac:dyDescent="0.25">
      <c r="A82">
        <v>86</v>
      </c>
      <c r="B82">
        <v>72</v>
      </c>
    </row>
    <row r="83" spans="1:2" x14ac:dyDescent="0.25">
      <c r="A83">
        <v>87</v>
      </c>
      <c r="B83">
        <v>72</v>
      </c>
    </row>
    <row r="84" spans="1:2" x14ac:dyDescent="0.25">
      <c r="A84">
        <v>88</v>
      </c>
      <c r="B84">
        <v>72</v>
      </c>
    </row>
    <row r="85" spans="1:2" x14ac:dyDescent="0.25">
      <c r="A85">
        <v>89</v>
      </c>
      <c r="B85">
        <v>72</v>
      </c>
    </row>
    <row r="86" spans="1:2" x14ac:dyDescent="0.25">
      <c r="A86">
        <v>90</v>
      </c>
      <c r="B86">
        <v>72</v>
      </c>
    </row>
    <row r="87" spans="1:2" x14ac:dyDescent="0.25">
      <c r="A87">
        <v>91</v>
      </c>
      <c r="B87">
        <v>72</v>
      </c>
    </row>
    <row r="88" spans="1:2" x14ac:dyDescent="0.25">
      <c r="A88">
        <v>92</v>
      </c>
      <c r="B88">
        <v>72</v>
      </c>
    </row>
    <row r="89" spans="1:2" x14ac:dyDescent="0.25">
      <c r="A89">
        <v>93</v>
      </c>
      <c r="B89">
        <v>72</v>
      </c>
    </row>
    <row r="90" spans="1:2" x14ac:dyDescent="0.25">
      <c r="A90">
        <v>94</v>
      </c>
      <c r="B90">
        <v>72</v>
      </c>
    </row>
    <row r="91" spans="1:2" x14ac:dyDescent="0.25">
      <c r="A91">
        <v>95</v>
      </c>
      <c r="B91">
        <v>72</v>
      </c>
    </row>
    <row r="92" spans="1:2" x14ac:dyDescent="0.25">
      <c r="A92">
        <v>96</v>
      </c>
      <c r="B92">
        <v>72</v>
      </c>
    </row>
    <row r="93" spans="1:2" x14ac:dyDescent="0.25">
      <c r="A93">
        <v>97</v>
      </c>
      <c r="B93">
        <v>72</v>
      </c>
    </row>
    <row r="94" spans="1:2" x14ac:dyDescent="0.25">
      <c r="A94">
        <v>98</v>
      </c>
      <c r="B94">
        <v>72</v>
      </c>
    </row>
    <row r="95" spans="1:2" x14ac:dyDescent="0.25">
      <c r="A95">
        <v>99</v>
      </c>
      <c r="B95">
        <v>72</v>
      </c>
    </row>
    <row r="96" spans="1:2" x14ac:dyDescent="0.25">
      <c r="A96">
        <v>100</v>
      </c>
      <c r="B96">
        <v>72</v>
      </c>
    </row>
    <row r="97" spans="1:2" x14ac:dyDescent="0.25">
      <c r="A97">
        <v>101</v>
      </c>
      <c r="B97">
        <v>72</v>
      </c>
    </row>
    <row r="98" spans="1:2" x14ac:dyDescent="0.25">
      <c r="A98">
        <v>102</v>
      </c>
      <c r="B98">
        <v>72</v>
      </c>
    </row>
    <row r="99" spans="1:2" x14ac:dyDescent="0.25">
      <c r="A99">
        <v>103</v>
      </c>
      <c r="B99">
        <v>72</v>
      </c>
    </row>
    <row r="100" spans="1:2" x14ac:dyDescent="0.25">
      <c r="A100">
        <v>104</v>
      </c>
      <c r="B100">
        <v>72</v>
      </c>
    </row>
    <row r="101" spans="1:2" x14ac:dyDescent="0.25">
      <c r="A101">
        <v>105</v>
      </c>
      <c r="B101">
        <v>72</v>
      </c>
    </row>
    <row r="102" spans="1:2" x14ac:dyDescent="0.25">
      <c r="A102">
        <v>106</v>
      </c>
      <c r="B102">
        <v>72</v>
      </c>
    </row>
    <row r="103" spans="1:2" x14ac:dyDescent="0.25">
      <c r="A103">
        <v>107</v>
      </c>
      <c r="B103">
        <v>72</v>
      </c>
    </row>
    <row r="104" spans="1:2" x14ac:dyDescent="0.25">
      <c r="A104">
        <v>108</v>
      </c>
      <c r="B104">
        <v>72</v>
      </c>
    </row>
    <row r="105" spans="1:2" x14ac:dyDescent="0.25">
      <c r="A105">
        <v>109</v>
      </c>
      <c r="B105">
        <v>72</v>
      </c>
    </row>
    <row r="106" spans="1:2" x14ac:dyDescent="0.25">
      <c r="A106">
        <v>110</v>
      </c>
      <c r="B106">
        <v>72</v>
      </c>
    </row>
    <row r="107" spans="1:2" x14ac:dyDescent="0.25">
      <c r="A107">
        <v>111</v>
      </c>
      <c r="B107">
        <v>72</v>
      </c>
    </row>
    <row r="108" spans="1:2" x14ac:dyDescent="0.25">
      <c r="A108">
        <v>112</v>
      </c>
      <c r="B108">
        <v>72</v>
      </c>
    </row>
    <row r="109" spans="1:2" x14ac:dyDescent="0.25">
      <c r="A109">
        <v>113</v>
      </c>
      <c r="B109">
        <v>72</v>
      </c>
    </row>
    <row r="110" spans="1:2" x14ac:dyDescent="0.25">
      <c r="A110">
        <v>114</v>
      </c>
      <c r="B110">
        <v>72</v>
      </c>
    </row>
    <row r="111" spans="1:2" x14ac:dyDescent="0.25">
      <c r="A111">
        <v>115</v>
      </c>
      <c r="B111">
        <v>72</v>
      </c>
    </row>
    <row r="112" spans="1:2" x14ac:dyDescent="0.25">
      <c r="A112">
        <v>116</v>
      </c>
      <c r="B112">
        <v>72</v>
      </c>
    </row>
    <row r="113" spans="1:2" x14ac:dyDescent="0.25">
      <c r="A113">
        <v>117</v>
      </c>
      <c r="B113">
        <v>72</v>
      </c>
    </row>
    <row r="114" spans="1:2" x14ac:dyDescent="0.25">
      <c r="A114">
        <v>118</v>
      </c>
      <c r="B114">
        <v>72</v>
      </c>
    </row>
    <row r="115" spans="1:2" x14ac:dyDescent="0.25">
      <c r="A115">
        <v>119</v>
      </c>
      <c r="B115">
        <v>72</v>
      </c>
    </row>
    <row r="116" spans="1:2" x14ac:dyDescent="0.25">
      <c r="A116">
        <v>120</v>
      </c>
      <c r="B116">
        <v>72</v>
      </c>
    </row>
    <row r="117" spans="1:2" x14ac:dyDescent="0.25">
      <c r="A117">
        <v>121</v>
      </c>
      <c r="B117">
        <v>72</v>
      </c>
    </row>
    <row r="118" spans="1:2" x14ac:dyDescent="0.25">
      <c r="A118">
        <v>122</v>
      </c>
      <c r="B118">
        <v>72</v>
      </c>
    </row>
    <row r="119" spans="1:2" x14ac:dyDescent="0.25">
      <c r="A119">
        <v>123</v>
      </c>
      <c r="B119">
        <v>72</v>
      </c>
    </row>
    <row r="120" spans="1:2" x14ac:dyDescent="0.25">
      <c r="A120">
        <v>124</v>
      </c>
      <c r="B120">
        <v>72</v>
      </c>
    </row>
    <row r="121" spans="1:2" x14ac:dyDescent="0.25">
      <c r="A121">
        <v>125</v>
      </c>
      <c r="B121">
        <v>72</v>
      </c>
    </row>
    <row r="122" spans="1:2" x14ac:dyDescent="0.25">
      <c r="A122">
        <v>126</v>
      </c>
      <c r="B122">
        <v>72</v>
      </c>
    </row>
    <row r="123" spans="1:2" x14ac:dyDescent="0.25">
      <c r="A123">
        <v>127</v>
      </c>
      <c r="B123">
        <v>72</v>
      </c>
    </row>
    <row r="124" spans="1:2" x14ac:dyDescent="0.25">
      <c r="A124">
        <v>128</v>
      </c>
      <c r="B124">
        <v>72</v>
      </c>
    </row>
    <row r="125" spans="1:2" x14ac:dyDescent="0.25">
      <c r="A125">
        <v>129</v>
      </c>
      <c r="B125">
        <v>72</v>
      </c>
    </row>
    <row r="126" spans="1:2" x14ac:dyDescent="0.25">
      <c r="A126">
        <v>130</v>
      </c>
      <c r="B126">
        <v>72</v>
      </c>
    </row>
    <row r="127" spans="1:2" x14ac:dyDescent="0.25">
      <c r="A127">
        <v>131</v>
      </c>
      <c r="B127">
        <v>72</v>
      </c>
    </row>
    <row r="128" spans="1:2" x14ac:dyDescent="0.25">
      <c r="A128">
        <v>132</v>
      </c>
      <c r="B128">
        <v>72</v>
      </c>
    </row>
    <row r="129" spans="1:2" x14ac:dyDescent="0.25">
      <c r="A129">
        <v>133</v>
      </c>
      <c r="B129">
        <v>72</v>
      </c>
    </row>
    <row r="130" spans="1:2" x14ac:dyDescent="0.25">
      <c r="A130">
        <v>134</v>
      </c>
      <c r="B130">
        <v>72</v>
      </c>
    </row>
    <row r="131" spans="1:2" x14ac:dyDescent="0.25">
      <c r="A131">
        <v>135</v>
      </c>
      <c r="B131">
        <v>72</v>
      </c>
    </row>
    <row r="132" spans="1:2" x14ac:dyDescent="0.25">
      <c r="A132">
        <v>136</v>
      </c>
      <c r="B132">
        <v>72</v>
      </c>
    </row>
    <row r="133" spans="1:2" x14ac:dyDescent="0.25">
      <c r="A133">
        <v>137</v>
      </c>
      <c r="B133">
        <v>72</v>
      </c>
    </row>
    <row r="134" spans="1:2" x14ac:dyDescent="0.25">
      <c r="A134">
        <v>138</v>
      </c>
      <c r="B134">
        <v>72</v>
      </c>
    </row>
    <row r="135" spans="1:2" x14ac:dyDescent="0.25">
      <c r="A135">
        <v>139</v>
      </c>
      <c r="B135">
        <v>72</v>
      </c>
    </row>
    <row r="136" spans="1:2" x14ac:dyDescent="0.25">
      <c r="A136">
        <v>140</v>
      </c>
      <c r="B136">
        <v>72</v>
      </c>
    </row>
    <row r="137" spans="1:2" x14ac:dyDescent="0.25">
      <c r="A137">
        <v>141</v>
      </c>
      <c r="B137">
        <v>72</v>
      </c>
    </row>
    <row r="138" spans="1:2" x14ac:dyDescent="0.25">
      <c r="A138">
        <v>142</v>
      </c>
      <c r="B138">
        <v>72</v>
      </c>
    </row>
    <row r="139" spans="1:2" x14ac:dyDescent="0.25">
      <c r="A139">
        <v>143</v>
      </c>
      <c r="B139">
        <v>72</v>
      </c>
    </row>
    <row r="140" spans="1:2" x14ac:dyDescent="0.25">
      <c r="A140">
        <v>144</v>
      </c>
      <c r="B140">
        <v>72</v>
      </c>
    </row>
    <row r="141" spans="1:2" x14ac:dyDescent="0.25">
      <c r="A141">
        <v>145</v>
      </c>
      <c r="B141">
        <v>72</v>
      </c>
    </row>
    <row r="142" spans="1:2" x14ac:dyDescent="0.25">
      <c r="A142">
        <v>146</v>
      </c>
      <c r="B142">
        <v>72</v>
      </c>
    </row>
    <row r="143" spans="1:2" x14ac:dyDescent="0.25">
      <c r="A143">
        <v>147</v>
      </c>
      <c r="B143">
        <v>72</v>
      </c>
    </row>
    <row r="144" spans="1:2" x14ac:dyDescent="0.25">
      <c r="A144">
        <v>148</v>
      </c>
      <c r="B144">
        <v>72</v>
      </c>
    </row>
    <row r="145" spans="1:2" x14ac:dyDescent="0.25">
      <c r="A145">
        <v>149</v>
      </c>
      <c r="B145">
        <v>72</v>
      </c>
    </row>
    <row r="146" spans="1:2" x14ac:dyDescent="0.25">
      <c r="A146">
        <v>150</v>
      </c>
      <c r="B146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LIST'!D2</f>
        <v>MANGO WOOD 4 DOOR SIDEBOARD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LIST'!C2</f>
        <v>DF20001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155X45X85</v>
      </c>
      <c r="C4"/>
      <c r="D4"/>
    </row>
    <row r="5" spans="1:4" x14ac:dyDescent="0.25">
      <c r="A5" s="1" t="s">
        <v>6</v>
      </c>
      <c r="B5" t="str">
        <f>INDEX('PRODUCT LIST'!G:G,MATCH(F2,'PRODUCT LIST'!C:C,0))</f>
        <v>160X50X90</v>
      </c>
      <c r="C5"/>
      <c r="D5"/>
    </row>
    <row r="6" spans="1:7" x14ac:dyDescent="0.25">
      <c r="A6" s="1" t="s">
        <v>7</v>
      </c>
      <c r="B6">
        <v>160</v>
      </c>
      <c r="C6">
        <v>50</v>
      </c>
      <c r="D6">
        <v>90</v>
      </c>
      <c r="E6" s="2">
        <f>B6*C6*D6/1000000</f>
        <v>0.72</v>
      </c>
      <c r="F6" s="4">
        <f>65/E6</f>
        <v>90.27777777777779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63</v>
      </c>
      <c r="B8">
        <v>19</v>
      </c>
      <c r="C8">
        <v>1</v>
      </c>
      <c r="D8">
        <v>1</v>
      </c>
      <c r="E8">
        <f>SUM(A8*B8*C8/144*D8)</f>
        <v>8.3125</v>
      </c>
      <c r="F8">
        <f>INDEX(RATE!B:B,MATCH(A8,RATE!A:A,0))</f>
        <v>62</v>
      </c>
      <c r="G8" s="5">
        <f>SUM(E8*F8)</f>
        <v>515.375</v>
      </c>
    </row>
    <row r="9" spans="1:7" x14ac:dyDescent="0.25">
      <c r="A9" s="1">
        <v>34</v>
      </c>
      <c r="B9">
        <v>18</v>
      </c>
      <c r="C9">
        <v>1</v>
      </c>
      <c r="D9">
        <v>2</v>
      </c>
      <c r="E9">
        <f>SUM(A9*B9*C9/144*D9)</f>
        <v>8.5</v>
      </c>
      <c r="F9">
        <f>INDEX(RATE!B:B,MATCH(A9,RATE!A:A,0))</f>
        <v>52</v>
      </c>
      <c r="G9" s="5">
        <f>SUM(E9*F9)</f>
        <v>442</v>
      </c>
    </row>
    <row r="10" spans="1:7" x14ac:dyDescent="0.25">
      <c r="A10" s="1">
        <v>61</v>
      </c>
      <c r="B10">
        <v>18</v>
      </c>
      <c r="C10">
        <v>1</v>
      </c>
      <c r="D10">
        <v>2</v>
      </c>
      <c r="E10">
        <f>SUM(A10*B10*C10/144*D10)</f>
        <v>15.25</v>
      </c>
      <c r="F10">
        <f>INDEX(RATE!B:B,MATCH(A10,RATE!A:A,0))</f>
        <v>62</v>
      </c>
      <c r="G10" s="5">
        <f>SUM(E10*F10)</f>
        <v>945.5</v>
      </c>
    </row>
    <row r="11" spans="1:7" x14ac:dyDescent="0.25">
      <c r="A11" s="1">
        <v>61</v>
      </c>
      <c r="B11">
        <v>33</v>
      </c>
      <c r="C11">
        <v>0.5</v>
      </c>
      <c r="D11">
        <v>1</v>
      </c>
      <c r="E11">
        <f>SUM(A11*B11*C11/144*D11)</f>
        <v>6.989583333333333</v>
      </c>
      <c r="F11">
        <f>INDEX(RATE!B:B,MATCH(A11,RATE!A:A,0))</f>
        <v>62</v>
      </c>
      <c r="G11" s="5">
        <f>SUM(E11*F11)</f>
        <v>433.35416666666663</v>
      </c>
    </row>
    <row r="12" spans="1:7" x14ac:dyDescent="0.25">
      <c r="A12" s="1">
        <v>33</v>
      </c>
      <c r="B12">
        <v>3</v>
      </c>
      <c r="C12">
        <v>1</v>
      </c>
      <c r="D12">
        <v>4</v>
      </c>
      <c r="E12">
        <f>SUM(A12*B12*C12/144*D12)</f>
        <v>2.75</v>
      </c>
      <c r="F12">
        <f>INDEX(RATE!B:B,MATCH(A12,RATE!A:A,0))</f>
        <v>52</v>
      </c>
      <c r="G12" s="5">
        <f>SUM(E12*F12)</f>
        <v>143</v>
      </c>
    </row>
    <row r="13" spans="1:7" x14ac:dyDescent="0.25">
      <c r="A13" s="1">
        <v>6</v>
      </c>
      <c r="B13">
        <v>3</v>
      </c>
      <c r="C13">
        <v>3</v>
      </c>
      <c r="D13">
        <v>4</v>
      </c>
      <c r="E13">
        <f>SUM(A13*B13*C13/144*D13)</f>
        <v>1.5</v>
      </c>
      <c r="F13">
        <f>INDEX(RATE!B:B,MATCH(A13,RATE!A:A,0))</f>
        <v>42</v>
      </c>
      <c r="G13" s="5">
        <f>SUM(E13*F13)</f>
        <v>63</v>
      </c>
    </row>
    <row r="14" spans="1:7" x14ac:dyDescent="0.25">
      <c r="A14" s="1">
        <v>61</v>
      </c>
      <c r="B14">
        <v>3</v>
      </c>
      <c r="C14">
        <v>1</v>
      </c>
      <c r="D14">
        <v>2</v>
      </c>
      <c r="E14">
        <f>SUM(A14*B14*C14/144*D14)</f>
        <v>2.5416666666666665</v>
      </c>
      <c r="F14">
        <f>INDEX(RATE!B:B,MATCH(A14,RATE!A:A,0))</f>
        <v>62</v>
      </c>
      <c r="G14" s="5">
        <f>SUM(E14*F14)</f>
        <v>157.58333333333331</v>
      </c>
    </row>
    <row r="15" spans="1:7" x14ac:dyDescent="0.25">
      <c r="A15" s="1" t="s">
        <v>140</v>
      </c>
      <c r="E15">
        <f>SUM(E8:E14)</f>
        <v>45.84375</v>
      </c>
      <c r="G15" s="5">
        <f>SUM(G8:G14)</f>
        <v>2699.8125</v>
      </c>
    </row>
    <row r="16" spans="1:7" x14ac:dyDescent="0.25">
      <c r="A16" s="1" t="s">
        <v>141</v>
      </c>
      <c r="E16" s="2">
        <f>+E15*0.2</f>
        <v>9.168750000000001</v>
      </c>
      <c r="G16" s="5">
        <f>+G15*0.2</f>
        <v>539.9625</v>
      </c>
    </row>
    <row r="17" spans="1:7" x14ac:dyDescent="0.25">
      <c r="A17" s="1" t="s">
        <v>142</v>
      </c>
      <c r="E17" s="5">
        <f>SUM(E15:E16)</f>
        <v>55.012499999999996</v>
      </c>
      <c r="G17" s="5">
        <f>SUM(G15:G16)</f>
        <v>3239.775</v>
      </c>
    </row>
    <row r="18" spans="1:7" x14ac:dyDescent="0.25">
      <c r="A18" s="1" t="s">
        <v>11</v>
      </c>
      <c r="G18" s="5">
        <f>INDEX('PRODUCT LIST'!L:L,MATCH(F2,'PRODUCT LIST'!C:C,0))</f>
        <v>1100</v>
      </c>
    </row>
    <row r="19" spans="1:7" x14ac:dyDescent="0.25">
      <c r="A19" s="1" t="s">
        <v>143</v>
      </c>
      <c r="G19" s="5">
        <f>G17*8%</f>
        <v>259.182</v>
      </c>
    </row>
    <row r="20" spans="1:7" x14ac:dyDescent="0.25">
      <c r="A20" s="1" t="s">
        <v>139</v>
      </c>
      <c r="G20" s="5">
        <f>SUM(G17:G19)</f>
        <v>4598.956999999999</v>
      </c>
    </row>
    <row r="21" spans="1:7" x14ac:dyDescent="0.25">
      <c r="A21" s="1" t="s">
        <v>144</v>
      </c>
      <c r="G21" s="5">
        <f>G20*10%</f>
        <v>459.8957</v>
      </c>
    </row>
    <row r="22" spans="1:7" x14ac:dyDescent="0.25">
      <c r="A22" s="1" t="s">
        <v>145</v>
      </c>
      <c r="G22" s="5">
        <f>G21+G20</f>
        <v>5058.8526999999995</v>
      </c>
    </row>
    <row r="23" spans="1:7" x14ac:dyDescent="0.25">
      <c r="A23" s="1" t="s">
        <v>146</v>
      </c>
      <c r="C23">
        <v>4</v>
      </c>
      <c r="D23" t="s">
        <v>147</v>
      </c>
      <c r="F23">
        <v>35</v>
      </c>
      <c r="G23" s="5">
        <f>C23*F23</f>
        <v>140</v>
      </c>
    </row>
    <row r="24" spans="1:7" x14ac:dyDescent="0.25">
      <c r="A24" s="1" t="s">
        <v>148</v>
      </c>
      <c r="C24">
        <v>0</v>
      </c>
      <c r="D24" t="s">
        <v>149</v>
      </c>
      <c r="F24">
        <v>180</v>
      </c>
      <c r="G24" s="5">
        <f>C24*F24</f>
        <v>0</v>
      </c>
    </row>
    <row r="25" spans="1:7" x14ac:dyDescent="0.25">
      <c r="A25" s="1" t="s">
        <v>150</v>
      </c>
      <c r="C25">
        <v>0</v>
      </c>
      <c r="D25" t="s">
        <v>151</v>
      </c>
      <c r="F25">
        <v>150</v>
      </c>
      <c r="G25" s="5">
        <f>C25*F25</f>
        <v>0</v>
      </c>
    </row>
    <row r="26" spans="1:7" x14ac:dyDescent="0.25">
      <c r="A26" s="1" t="s">
        <v>152</v>
      </c>
      <c r="C26">
        <v>0</v>
      </c>
      <c r="D26" t="s">
        <v>153</v>
      </c>
      <c r="F26">
        <v>2</v>
      </c>
      <c r="G26" s="5">
        <f>C26*F26</f>
        <v>0</v>
      </c>
    </row>
    <row r="27" spans="1:7" x14ac:dyDescent="0.25">
      <c r="A27" s="1" t="s">
        <v>154</v>
      </c>
      <c r="D27" t="s">
        <v>155</v>
      </c>
      <c r="E27" s="5">
        <f>E6</f>
        <v>0.72</v>
      </c>
      <c r="F27">
        <f>65/E27</f>
        <v>90.27777777777779</v>
      </c>
      <c r="G27" s="5">
        <f>350000/F27</f>
        <v>3876.9230769230767</v>
      </c>
    </row>
    <row r="28" spans="1:9" x14ac:dyDescent="0.25">
      <c r="A28" s="1" t="s">
        <v>139</v>
      </c>
      <c r="G28" s="5">
        <f>SUM(G22:G27)</f>
        <v>9075.775776923076</v>
      </c>
      <c r="H28" s="5">
        <f>+G28/78</f>
        <v>116.356099704142</v>
      </c>
      <c r="I28" t="s">
        <v>156</v>
      </c>
    </row>
    <row r="29" spans="1:7" x14ac:dyDescent="0.25">
      <c r="A29" s="1" t="s">
        <v>157</v>
      </c>
      <c r="G29" s="5">
        <f>G28*15%</f>
        <v>1361.3663665384613</v>
      </c>
    </row>
    <row r="30" spans="1:7" x14ac:dyDescent="0.25">
      <c r="A30" s="1" t="s">
        <v>158</v>
      </c>
      <c r="G30" s="5">
        <f>G28*15%</f>
        <v>1361.3663665384613</v>
      </c>
    </row>
    <row r="31" spans="1:8" x14ac:dyDescent="0.25">
      <c r="A31" s="1" t="s">
        <v>139</v>
      </c>
      <c r="G31" s="5">
        <f>SUM(G28:G30)</f>
        <v>11798.508509999998</v>
      </c>
      <c r="H31" s="5">
        <f>+G31/78</f>
        <v>151.2629296153846</v>
      </c>
    </row>
    <row r="32" spans="1:7" x14ac:dyDescent="0.25">
      <c r="A32" s="1" t="s">
        <v>159</v>
      </c>
      <c r="G32" s="5">
        <f>G31*0.2</f>
        <v>2359.701702</v>
      </c>
    </row>
    <row r="33" spans="1:9" x14ac:dyDescent="0.25">
      <c r="A33" s="1" t="s">
        <v>160</v>
      </c>
      <c r="G33" s="4">
        <f>G31+G32</f>
        <v>14158.210211999998</v>
      </c>
      <c r="H33" s="5">
        <f>+G33/78</f>
        <v>181.51551553846153</v>
      </c>
      <c r="I33" t="s">
        <v>156</v>
      </c>
    </row>
    <row r="34" spans="1:9" x14ac:dyDescent="0.25">
      <c r="A34" s="1" t="s">
        <v>161</v>
      </c>
      <c r="G34" s="4">
        <f>G20+G23+G24+G25+G26+G27+G29+G32</f>
        <v>12336.948145461538</v>
      </c>
      <c r="H34" s="5">
        <f>+G34/78</f>
        <v>158.1660018648915</v>
      </c>
      <c r="I34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LIST'!D3</f>
        <v>ACACIA 6 DRAWER CHEST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LIST'!C3</f>
        <v>DF20002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110X45X80</v>
      </c>
      <c r="C4"/>
      <c r="D4"/>
    </row>
    <row r="5" spans="1:4" x14ac:dyDescent="0.25">
      <c r="A5" s="1" t="s">
        <v>6</v>
      </c>
      <c r="B5" t="str">
        <f>INDEX('PRODUCT LIST'!G:G,MATCH(F2,'PRODUCT LIST'!C:C,0))</f>
        <v>115X50X85</v>
      </c>
      <c r="C5"/>
      <c r="D5"/>
    </row>
    <row r="6" spans="1:7" x14ac:dyDescent="0.25">
      <c r="A6" s="1" t="s">
        <v>7</v>
      </c>
      <c r="B6">
        <v>115</v>
      </c>
      <c r="C6">
        <v>50</v>
      </c>
      <c r="D6">
        <v>85</v>
      </c>
      <c r="E6" s="2">
        <f>B6*C6*D6/1000000</f>
        <v>0.48875</v>
      </c>
      <c r="F6" s="4">
        <f>65/E6</f>
        <v>132.9923273657289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45</v>
      </c>
      <c r="B8">
        <v>19</v>
      </c>
      <c r="C8">
        <v>1</v>
      </c>
      <c r="D8">
        <v>1</v>
      </c>
      <c r="E8">
        <f>SUM(A8*B8*C8/144*D8)</f>
        <v>5.9375</v>
      </c>
      <c r="F8">
        <f>INDEX(RATE!B:B,MATCH(A8,RATE!A:A,0))</f>
        <v>52</v>
      </c>
      <c r="G8" s="5">
        <f>SUM(E8*F8)</f>
        <v>308.75</v>
      </c>
    </row>
    <row r="9" spans="1:7" x14ac:dyDescent="0.25">
      <c r="A9" s="1">
        <v>32</v>
      </c>
      <c r="B9">
        <v>18</v>
      </c>
      <c r="C9">
        <v>1</v>
      </c>
      <c r="D9">
        <v>2</v>
      </c>
      <c r="E9">
        <f>SUM(A9*B9*C9/144*D9)</f>
        <v>8</v>
      </c>
      <c r="F9">
        <f>INDEX(RATE!B:B,MATCH(A9,RATE!A:A,0))</f>
        <v>52</v>
      </c>
      <c r="G9" s="5">
        <f>SUM(E9*F9)</f>
        <v>416</v>
      </c>
    </row>
    <row r="10" spans="1:7" x14ac:dyDescent="0.25">
      <c r="A10" s="1">
        <v>43</v>
      </c>
      <c r="B10">
        <v>18</v>
      </c>
      <c r="C10">
        <v>1</v>
      </c>
      <c r="D10">
        <v>2</v>
      </c>
      <c r="E10">
        <f>SUM(A10*B10*C10/144*D10)</f>
        <v>10.75</v>
      </c>
      <c r="F10">
        <f>INDEX(RATE!B:B,MATCH(A10,RATE!A:A,0))</f>
        <v>52</v>
      </c>
      <c r="G10" s="5">
        <f>SUM(E10*F10)</f>
        <v>559</v>
      </c>
    </row>
    <row r="11" spans="1:7" x14ac:dyDescent="0.25">
      <c r="A11" s="1">
        <v>43</v>
      </c>
      <c r="B11">
        <v>31</v>
      </c>
      <c r="C11">
        <v>0.5</v>
      </c>
      <c r="D11">
        <v>1</v>
      </c>
      <c r="E11">
        <f>SUM(A11*B11*C11/144*D11)</f>
        <v>4.628472222222222</v>
      </c>
      <c r="F11">
        <f>INDEX(RATE!B:B,MATCH(A11,RATE!A:A,0))</f>
        <v>52</v>
      </c>
      <c r="G11" s="5">
        <f>SUM(E11*F11)</f>
        <v>240.68055555555557</v>
      </c>
    </row>
    <row r="12" spans="1:7" x14ac:dyDescent="0.25">
      <c r="A12" s="1">
        <v>31</v>
      </c>
      <c r="B12">
        <v>3</v>
      </c>
      <c r="C12">
        <v>1</v>
      </c>
      <c r="D12">
        <v>4</v>
      </c>
      <c r="E12">
        <f>SUM(A12*B12*C12/144*D12)</f>
        <v>2.5833333333333335</v>
      </c>
      <c r="F12">
        <f>INDEX(RATE!B:B,MATCH(A12,RATE!A:A,0))</f>
        <v>52</v>
      </c>
      <c r="G12" s="5">
        <f>SUM(E12*F12)</f>
        <v>134.33333333333334</v>
      </c>
    </row>
    <row r="13" spans="1:7" x14ac:dyDescent="0.25">
      <c r="A13" s="1">
        <v>6</v>
      </c>
      <c r="B13">
        <v>3</v>
      </c>
      <c r="C13">
        <v>3</v>
      </c>
      <c r="D13">
        <v>4</v>
      </c>
      <c r="E13">
        <f>SUM(A13*B13*C13/144*D13)</f>
        <v>1.5</v>
      </c>
      <c r="F13">
        <f>INDEX(RATE!B:B,MATCH(A13,RATE!A:A,0))</f>
        <v>42</v>
      </c>
      <c r="G13" s="5">
        <f>SUM(E13*F13)</f>
        <v>63</v>
      </c>
    </row>
    <row r="14" spans="1:7" x14ac:dyDescent="0.25">
      <c r="A14" s="1">
        <v>43</v>
      </c>
      <c r="B14">
        <v>3</v>
      </c>
      <c r="C14">
        <v>1</v>
      </c>
      <c r="D14">
        <v>2</v>
      </c>
      <c r="E14">
        <f>SUM(A14*B14*C14/144*D14)</f>
        <v>1.7916666666666667</v>
      </c>
      <c r="F14">
        <f>INDEX(RATE!B:B,MATCH(A14,RATE!A:A,0))</f>
        <v>52</v>
      </c>
      <c r="G14" s="5">
        <f>SUM(E14*F14)</f>
        <v>93.16666666666667</v>
      </c>
    </row>
    <row r="15" spans="1:7" x14ac:dyDescent="0.25">
      <c r="A15" s="1" t="s">
        <v>140</v>
      </c>
      <c r="E15">
        <f>SUM(E8:E14)</f>
        <v>35.19097222222222</v>
      </c>
      <c r="G15" s="5">
        <f>SUM(G8:G14)</f>
        <v>1814.9305555555557</v>
      </c>
    </row>
    <row r="16" spans="1:7" x14ac:dyDescent="0.25">
      <c r="A16" s="1" t="s">
        <v>141</v>
      </c>
      <c r="E16" s="2">
        <f>+E15*0.2</f>
        <v>7.038194444444445</v>
      </c>
      <c r="G16" s="5">
        <f>+G15*0.2</f>
        <v>362.98611111111114</v>
      </c>
    </row>
    <row r="17" spans="1:7" x14ac:dyDescent="0.25">
      <c r="A17" s="1" t="s">
        <v>142</v>
      </c>
      <c r="E17" s="5">
        <f>SUM(E15:E16)</f>
        <v>42.229166666666664</v>
      </c>
      <c r="G17" s="5">
        <f>SUM(G15:G16)</f>
        <v>2177.916666666667</v>
      </c>
    </row>
    <row r="18" spans="1:7" x14ac:dyDescent="0.25">
      <c r="A18" s="1" t="s">
        <v>11</v>
      </c>
      <c r="G18" s="5">
        <f>INDEX('PRODUCT LIST'!L:L,MATCH(F2,'PRODUCT LIST'!C:C,0))</f>
        <v>1000</v>
      </c>
    </row>
    <row r="19" spans="1:7" x14ac:dyDescent="0.25">
      <c r="A19" s="1" t="s">
        <v>143</v>
      </c>
      <c r="G19" s="5">
        <f>G17*8%</f>
        <v>174.23333333333335</v>
      </c>
    </row>
    <row r="20" spans="1:7" x14ac:dyDescent="0.25">
      <c r="A20" s="1" t="s">
        <v>139</v>
      </c>
      <c r="G20" s="5">
        <f>SUM(G17:G19)</f>
        <v>3352.1500000000005</v>
      </c>
    </row>
    <row r="21" spans="1:7" x14ac:dyDescent="0.25">
      <c r="A21" s="1" t="s">
        <v>144</v>
      </c>
      <c r="G21" s="5">
        <f>G20*10%</f>
        <v>335.2150000000001</v>
      </c>
    </row>
    <row r="22" spans="1:7" x14ac:dyDescent="0.25">
      <c r="A22" s="1" t="s">
        <v>145</v>
      </c>
      <c r="G22" s="5">
        <f>G21+G20</f>
        <v>3687.3650000000007</v>
      </c>
    </row>
    <row r="23" spans="1:7" x14ac:dyDescent="0.25">
      <c r="A23" s="1" t="s">
        <v>146</v>
      </c>
      <c r="C23">
        <v>6</v>
      </c>
      <c r="D23" t="s">
        <v>147</v>
      </c>
      <c r="F23">
        <v>35</v>
      </c>
      <c r="G23" s="5">
        <f>C23*F23</f>
        <v>210</v>
      </c>
    </row>
    <row r="24" spans="1:7" x14ac:dyDescent="0.25">
      <c r="A24" s="1" t="s">
        <v>148</v>
      </c>
      <c r="C24">
        <v>0</v>
      </c>
      <c r="D24" t="s">
        <v>149</v>
      </c>
      <c r="F24">
        <v>180</v>
      </c>
      <c r="G24" s="5">
        <f>C24*F24</f>
        <v>0</v>
      </c>
    </row>
    <row r="25" spans="1:7" x14ac:dyDescent="0.25">
      <c r="A25" s="1" t="s">
        <v>150</v>
      </c>
      <c r="C25">
        <v>0</v>
      </c>
      <c r="D25" t="s">
        <v>151</v>
      </c>
      <c r="F25">
        <v>150</v>
      </c>
      <c r="G25" s="5">
        <f>C25*F25</f>
        <v>0</v>
      </c>
    </row>
    <row r="26" spans="1:7" x14ac:dyDescent="0.25">
      <c r="A26" s="1" t="s">
        <v>152</v>
      </c>
      <c r="C26">
        <v>0</v>
      </c>
      <c r="D26" t="s">
        <v>153</v>
      </c>
      <c r="F26">
        <v>2</v>
      </c>
      <c r="G26" s="5">
        <f>C26*F26</f>
        <v>0</v>
      </c>
    </row>
    <row r="27" spans="1:7" x14ac:dyDescent="0.25">
      <c r="A27" s="1" t="s">
        <v>154</v>
      </c>
      <c r="D27" t="s">
        <v>155</v>
      </c>
      <c r="E27" s="5">
        <f>E6</f>
        <v>0.48875</v>
      </c>
      <c r="F27">
        <f>65/E27</f>
        <v>132.9923273657289</v>
      </c>
      <c r="G27" s="5">
        <f>350000/F27</f>
        <v>2631.7307692307695</v>
      </c>
    </row>
    <row r="28" spans="1:9" x14ac:dyDescent="0.25">
      <c r="A28" s="1" t="s">
        <v>139</v>
      </c>
      <c r="G28" s="5">
        <f>SUM(G22:G27)</f>
        <v>6529.09576923077</v>
      </c>
      <c r="H28" s="5">
        <f>+G28/78</f>
        <v>83.70635601577911</v>
      </c>
      <c r="I28" t="s">
        <v>156</v>
      </c>
    </row>
    <row r="29" spans="1:7" x14ac:dyDescent="0.25">
      <c r="A29" s="1" t="s">
        <v>157</v>
      </c>
      <c r="G29" s="5">
        <f>G28*15%</f>
        <v>979.3643653846154</v>
      </c>
    </row>
    <row r="30" spans="1:7" x14ac:dyDescent="0.25">
      <c r="A30" s="1" t="s">
        <v>158</v>
      </c>
      <c r="G30" s="5">
        <f>G28*15%</f>
        <v>979.3643653846154</v>
      </c>
    </row>
    <row r="31" spans="1:8" x14ac:dyDescent="0.25">
      <c r="A31" s="1" t="s">
        <v>139</v>
      </c>
      <c r="G31" s="5">
        <f>SUM(G28:G30)</f>
        <v>8487.8245</v>
      </c>
      <c r="H31" s="5">
        <f>+G31/78</f>
        <v>108.81826282051283</v>
      </c>
    </row>
    <row r="32" spans="1:7" x14ac:dyDescent="0.25">
      <c r="A32" s="1" t="s">
        <v>159</v>
      </c>
      <c r="G32" s="5">
        <f>G31*0.2</f>
        <v>1697.5649000000003</v>
      </c>
    </row>
    <row r="33" spans="1:9" x14ac:dyDescent="0.25">
      <c r="A33" s="1" t="s">
        <v>160</v>
      </c>
      <c r="G33" s="4">
        <f>G31+G32</f>
        <v>10185.3894</v>
      </c>
      <c r="H33" s="5">
        <f>+G33/78</f>
        <v>130.58191538461537</v>
      </c>
      <c r="I33" t="s">
        <v>156</v>
      </c>
    </row>
    <row r="34" spans="1:9" x14ac:dyDescent="0.25">
      <c r="A34" s="1" t="s">
        <v>161</v>
      </c>
      <c r="G34" s="4">
        <f>G20+G23+G24+G25+G26+G27+G29+G32</f>
        <v>8870.810034615386</v>
      </c>
      <c r="H34" s="5">
        <f>+G34/78</f>
        <v>113.72833377712034</v>
      </c>
      <c r="I34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LIST'!D4</f>
        <v>WALL MOUNTED BEDSIDE SHELF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LIST'!C4</f>
        <v>DF20003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45X35X23</v>
      </c>
      <c r="C4"/>
      <c r="D4"/>
    </row>
    <row r="5" spans="1:4" x14ac:dyDescent="0.25">
      <c r="A5" s="1" t="s">
        <v>6</v>
      </c>
      <c r="B5" t="str">
        <f>INDEX('PRODUCT LIST'!G:G,MATCH(F2,'PRODUCT LIST'!C:C,0))</f>
        <v>50X40X28</v>
      </c>
      <c r="C5"/>
      <c r="D5"/>
    </row>
    <row r="6" spans="1:7" x14ac:dyDescent="0.25">
      <c r="A6" s="1" t="s">
        <v>7</v>
      </c>
      <c r="B6">
        <v>50</v>
      </c>
      <c r="C6">
        <v>40</v>
      </c>
      <c r="D6">
        <v>28</v>
      </c>
      <c r="E6" s="2">
        <f>B6*C6*D6/1000000</f>
        <v>0.056</v>
      </c>
      <c r="F6" s="4">
        <f>65/E6</f>
        <v>1160.7142857142858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19</v>
      </c>
      <c r="B8">
        <v>14</v>
      </c>
      <c r="C8">
        <v>1</v>
      </c>
      <c r="D8">
        <v>2</v>
      </c>
      <c r="E8">
        <f>SUM(A8*B8*C8/144*D8)</f>
        <v>3.6944444444444446</v>
      </c>
      <c r="F8">
        <f>INDEX(RATE!B:B,MATCH(A8,RATE!A:A,0))</f>
        <v>42</v>
      </c>
      <c r="G8" s="5">
        <f>SUM(E8*F8)</f>
        <v>155.16666666666669</v>
      </c>
    </row>
    <row r="9" spans="1:7" x14ac:dyDescent="0.25">
      <c r="A9" s="1">
        <v>10</v>
      </c>
      <c r="B9">
        <v>14</v>
      </c>
      <c r="C9">
        <v>1</v>
      </c>
      <c r="D9">
        <v>2</v>
      </c>
      <c r="E9">
        <f>SUM(A9*B9*C9/144*D9)</f>
        <v>1.9444444444444444</v>
      </c>
      <c r="F9">
        <f>INDEX(RATE!B:B,MATCH(A9,RATE!A:A,0))</f>
        <v>42</v>
      </c>
      <c r="G9" s="5">
        <f>SUM(E9*F9)</f>
        <v>81.66666666666667</v>
      </c>
    </row>
    <row r="10" spans="1:7" x14ac:dyDescent="0.25">
      <c r="A10" s="1" t="s">
        <v>140</v>
      </c>
      <c r="E10">
        <f>SUM(E8:E9)</f>
        <v>5.638888888888889</v>
      </c>
      <c r="G10" s="5">
        <f>SUM(G8:G9)</f>
        <v>236.83333333333337</v>
      </c>
    </row>
    <row r="11" spans="1:7" x14ac:dyDescent="0.25">
      <c r="A11" s="1" t="s">
        <v>141</v>
      </c>
      <c r="E11" s="2">
        <f>+E10*0.2</f>
        <v>1.127777777777778</v>
      </c>
      <c r="G11" s="5">
        <f>+G10*0.2</f>
        <v>47.366666666666674</v>
      </c>
    </row>
    <row r="12" spans="1:7" x14ac:dyDescent="0.25">
      <c r="A12" s="1" t="s">
        <v>142</v>
      </c>
      <c r="E12" s="5">
        <f>SUM(E10:E11)</f>
        <v>6.766666666666667</v>
      </c>
      <c r="G12" s="5">
        <f>SUM(G10:G11)</f>
        <v>284.20000000000005</v>
      </c>
    </row>
    <row r="13" spans="1:7" x14ac:dyDescent="0.25">
      <c r="A13" s="1" t="s">
        <v>11</v>
      </c>
      <c r="G13" s="5">
        <f>INDEX('PRODUCT LIST'!L:L,MATCH(F2,'PRODUCT LIST'!C:C,0))</f>
        <v>380</v>
      </c>
    </row>
    <row r="14" spans="1:7" x14ac:dyDescent="0.25">
      <c r="A14" s="1" t="s">
        <v>143</v>
      </c>
      <c r="G14" s="5">
        <f>G12*8%</f>
        <v>22.736000000000004</v>
      </c>
    </row>
    <row r="15" spans="1:7" x14ac:dyDescent="0.25">
      <c r="A15" s="1" t="s">
        <v>139</v>
      </c>
      <c r="G15" s="5">
        <f>SUM(G12:G14)</f>
        <v>686.936</v>
      </c>
    </row>
    <row r="16" spans="1:7" x14ac:dyDescent="0.25">
      <c r="A16" s="1" t="s">
        <v>144</v>
      </c>
      <c r="G16" s="5">
        <f>G15*10%</f>
        <v>68.6936</v>
      </c>
    </row>
    <row r="17" spans="1:7" x14ac:dyDescent="0.25">
      <c r="A17" s="1" t="s">
        <v>145</v>
      </c>
      <c r="G17" s="5">
        <f>G16+G15</f>
        <v>755.6296</v>
      </c>
    </row>
    <row r="18" spans="1:7" x14ac:dyDescent="0.25">
      <c r="A18" s="1" t="s">
        <v>146</v>
      </c>
      <c r="C18">
        <v>1</v>
      </c>
      <c r="D18" t="s">
        <v>147</v>
      </c>
      <c r="F18">
        <v>35</v>
      </c>
      <c r="G18" s="5">
        <f>C18*F18</f>
        <v>35</v>
      </c>
    </row>
    <row r="19" spans="1:7" x14ac:dyDescent="0.25">
      <c r="A19" s="1" t="s">
        <v>148</v>
      </c>
      <c r="C19">
        <v>0</v>
      </c>
      <c r="D19" t="s">
        <v>149</v>
      </c>
      <c r="F19">
        <v>180</v>
      </c>
      <c r="G19" s="5">
        <f>C19*F19</f>
        <v>0</v>
      </c>
    </row>
    <row r="20" spans="1:7" x14ac:dyDescent="0.25">
      <c r="A20" s="1" t="s">
        <v>150</v>
      </c>
      <c r="C20">
        <v>1.5</v>
      </c>
      <c r="D20" t="s">
        <v>151</v>
      </c>
      <c r="F20">
        <v>150</v>
      </c>
      <c r="G20" s="5">
        <f>C20*F20</f>
        <v>225</v>
      </c>
    </row>
    <row r="21" spans="1:7" x14ac:dyDescent="0.25">
      <c r="A21" s="1" t="s">
        <v>152</v>
      </c>
      <c r="C21">
        <v>0</v>
      </c>
      <c r="D21" t="s">
        <v>153</v>
      </c>
      <c r="F21">
        <v>2</v>
      </c>
      <c r="G21" s="5">
        <f>C21*F21</f>
        <v>0</v>
      </c>
    </row>
    <row r="22" spans="1:7" x14ac:dyDescent="0.25">
      <c r="A22" s="1" t="s">
        <v>154</v>
      </c>
      <c r="D22" t="s">
        <v>155</v>
      </c>
      <c r="E22" s="5">
        <f>E6</f>
        <v>0.056</v>
      </c>
      <c r="F22">
        <f>65/E22</f>
        <v>1160.7142857142858</v>
      </c>
      <c r="G22" s="5">
        <f>350000/F22</f>
        <v>301.53846153846155</v>
      </c>
    </row>
    <row r="23" spans="1:9" x14ac:dyDescent="0.25">
      <c r="A23" s="1" t="s">
        <v>139</v>
      </c>
      <c r="G23" s="5">
        <f>SUM(G17:G22)</f>
        <v>1317.1680615384616</v>
      </c>
      <c r="H23" s="5">
        <f>+G23/78</f>
        <v>16.886770019723865</v>
      </c>
      <c r="I23" t="s">
        <v>156</v>
      </c>
    </row>
    <row r="24" spans="1:7" x14ac:dyDescent="0.25">
      <c r="A24" s="1" t="s">
        <v>157</v>
      </c>
      <c r="G24" s="5">
        <f>G23*15%</f>
        <v>197.57520923076925</v>
      </c>
    </row>
    <row r="25" spans="1:7" x14ac:dyDescent="0.25">
      <c r="A25" s="1" t="s">
        <v>158</v>
      </c>
      <c r="G25" s="5">
        <f>G23*15%</f>
        <v>197.57520923076925</v>
      </c>
    </row>
    <row r="26" spans="1:8" x14ac:dyDescent="0.25">
      <c r="A26" s="1" t="s">
        <v>139</v>
      </c>
      <c r="G26" s="5">
        <f>SUM(G23:G25)</f>
        <v>1712.3184800000001</v>
      </c>
      <c r="H26" s="5">
        <f>+G26/78</f>
        <v>21.952801025641026</v>
      </c>
    </row>
    <row r="27" spans="1:7" x14ac:dyDescent="0.25">
      <c r="A27" s="1" t="s">
        <v>159</v>
      </c>
      <c r="G27" s="5">
        <f>G26*0.2</f>
        <v>342.463696</v>
      </c>
    </row>
    <row r="28" spans="1:9" x14ac:dyDescent="0.25">
      <c r="A28" s="1" t="s">
        <v>160</v>
      </c>
      <c r="G28" s="4">
        <f>G26+G27</f>
        <v>2054.782176</v>
      </c>
      <c r="H28" s="5">
        <f>+G28/78</f>
        <v>26.343361230769233</v>
      </c>
      <c r="I28" t="s">
        <v>156</v>
      </c>
    </row>
    <row r="29" spans="1:9" x14ac:dyDescent="0.25">
      <c r="A29" s="1" t="s">
        <v>161</v>
      </c>
      <c r="G29" s="4">
        <f>G15+G18+G19+G20+G21+G22+G24+G27</f>
        <v>1788.513366769231</v>
      </c>
      <c r="H29" s="5">
        <f>+G29/78</f>
        <v>22.929658548323474</v>
      </c>
      <c r="I29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LIST'!D5</f>
        <v>SOLID WOOD DINING TABLE 6 SEATER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LIST'!C5</f>
        <v>DF20004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180X90X76</v>
      </c>
      <c r="C4"/>
      <c r="D4"/>
    </row>
    <row r="5" spans="1:4" x14ac:dyDescent="0.25">
      <c r="A5" s="1" t="s">
        <v>6</v>
      </c>
      <c r="B5" t="str">
        <f>INDEX('PRODUCT LIST'!G:G,MATCH(F2,'PRODUCT LIST'!C:C,0))</f>
        <v>185X95X81</v>
      </c>
      <c r="C5"/>
      <c r="D5"/>
    </row>
    <row r="6" spans="1:7" x14ac:dyDescent="0.25">
      <c r="A6" s="1" t="s">
        <v>7</v>
      </c>
      <c r="B6">
        <v>185</v>
      </c>
      <c r="C6">
        <v>95</v>
      </c>
      <c r="D6">
        <v>81</v>
      </c>
      <c r="E6" s="2">
        <f>B6*C6*D6/1000000</f>
        <v>1.423575</v>
      </c>
      <c r="F6" s="4">
        <f>65/E6</f>
        <v>45.6596947825018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73</v>
      </c>
      <c r="B8">
        <v>37</v>
      </c>
      <c r="C8">
        <v>1</v>
      </c>
      <c r="D8">
        <v>1</v>
      </c>
      <c r="E8">
        <f>SUM(A8*B8*C8/144*D8)</f>
        <v>18.756944444444443</v>
      </c>
      <c r="F8">
        <f>INDEX(RATE!B:B,MATCH(A8,RATE!A:A,0))</f>
        <v>72</v>
      </c>
      <c r="G8" s="5">
        <f>SUM(E8*F8)</f>
        <v>1350.5</v>
      </c>
    </row>
    <row r="9" spans="1:7" x14ac:dyDescent="0.25">
      <c r="A9" s="1">
        <v>30</v>
      </c>
      <c r="B9">
        <v>3</v>
      </c>
      <c r="C9">
        <v>3</v>
      </c>
      <c r="D9">
        <v>4</v>
      </c>
      <c r="E9">
        <f>SUM(A9*B9*C9/144*D9)</f>
        <v>7.5</v>
      </c>
      <c r="F9">
        <f>INDEX(RATE!B:B,MATCH(A9,RATE!A:A,0))</f>
        <v>52</v>
      </c>
      <c r="G9" s="5">
        <f>SUM(E9*F9)</f>
        <v>390</v>
      </c>
    </row>
    <row r="10" spans="1:7" x14ac:dyDescent="0.25">
      <c r="A10" s="1">
        <v>71</v>
      </c>
      <c r="B10">
        <v>4</v>
      </c>
      <c r="C10">
        <v>1</v>
      </c>
      <c r="D10">
        <v>2</v>
      </c>
      <c r="E10">
        <f>SUM(A10*B10*C10/144*D10)</f>
        <v>3.9444444444444446</v>
      </c>
      <c r="F10">
        <f>INDEX(RATE!B:B,MATCH(A10,RATE!A:A,0))</f>
        <v>62</v>
      </c>
      <c r="G10" s="5">
        <f>SUM(E10*F10)</f>
        <v>244.55555555555557</v>
      </c>
    </row>
    <row r="11" spans="1:7" x14ac:dyDescent="0.25">
      <c r="A11" s="1">
        <v>35</v>
      </c>
      <c r="B11">
        <v>4</v>
      </c>
      <c r="C11">
        <v>1</v>
      </c>
      <c r="D11">
        <v>2</v>
      </c>
      <c r="E11">
        <f>SUM(A11*B11*C11/144*D11)</f>
        <v>1.9444444444444444</v>
      </c>
      <c r="F11">
        <f>INDEX(RATE!B:B,MATCH(A11,RATE!A:A,0))</f>
        <v>52</v>
      </c>
      <c r="G11" s="5">
        <f>SUM(E11*F11)</f>
        <v>101.11111111111111</v>
      </c>
    </row>
    <row r="12" spans="1:7" x14ac:dyDescent="0.25">
      <c r="A12" s="1" t="s">
        <v>140</v>
      </c>
      <c r="E12">
        <f>SUM(E8:E11)</f>
        <v>32.14583333333333</v>
      </c>
      <c r="G12" s="5">
        <f>SUM(G8:G11)</f>
        <v>2086.166666666667</v>
      </c>
    </row>
    <row r="13" spans="1:7" x14ac:dyDescent="0.25">
      <c r="A13" s="1" t="s">
        <v>141</v>
      </c>
      <c r="E13" s="2">
        <f>+E12*0.2</f>
        <v>6.429166666666666</v>
      </c>
      <c r="G13" s="5">
        <f>+G12*0.2</f>
        <v>417.2333333333334</v>
      </c>
    </row>
    <row r="14" spans="1:7" x14ac:dyDescent="0.25">
      <c r="A14" s="1" t="s">
        <v>142</v>
      </c>
      <c r="E14" s="5">
        <f>SUM(E12:E13)</f>
        <v>38.574999999999996</v>
      </c>
      <c r="G14" s="5">
        <f>SUM(G12:G13)</f>
        <v>2503.4000000000005</v>
      </c>
    </row>
    <row r="15" spans="1:7" x14ac:dyDescent="0.25">
      <c r="A15" s="1" t="s">
        <v>11</v>
      </c>
      <c r="G15" s="5">
        <f>INDEX('PRODUCT LIST'!L:L,MATCH(F2,'PRODUCT LIST'!C:C,0))</f>
        <v>1300</v>
      </c>
    </row>
    <row r="16" spans="1:7" x14ac:dyDescent="0.25">
      <c r="A16" s="1" t="s">
        <v>143</v>
      </c>
      <c r="G16" s="5">
        <f>G14*8%</f>
        <v>200.27200000000005</v>
      </c>
    </row>
    <row r="17" spans="1:7" x14ac:dyDescent="0.25">
      <c r="A17" s="1" t="s">
        <v>139</v>
      </c>
      <c r="G17" s="5">
        <f>SUM(G14:G16)</f>
        <v>4003.6720000000005</v>
      </c>
    </row>
    <row r="18" spans="1:7" x14ac:dyDescent="0.25">
      <c r="A18" s="1" t="s">
        <v>144</v>
      </c>
      <c r="G18" s="5">
        <f>G17*10%</f>
        <v>400.3672000000001</v>
      </c>
    </row>
    <row r="19" spans="1:7" x14ac:dyDescent="0.25">
      <c r="A19" s="1" t="s">
        <v>145</v>
      </c>
      <c r="G19" s="5">
        <f>G18+G17</f>
        <v>4404.0392</v>
      </c>
    </row>
    <row r="20" spans="1:7" x14ac:dyDescent="0.25">
      <c r="A20" s="1" t="s">
        <v>146</v>
      </c>
      <c r="C20">
        <v>0</v>
      </c>
      <c r="D20" t="s">
        <v>147</v>
      </c>
      <c r="F20">
        <v>35</v>
      </c>
      <c r="G20" s="5">
        <f>C20*F20</f>
        <v>0</v>
      </c>
    </row>
    <row r="21" spans="1:7" x14ac:dyDescent="0.25">
      <c r="A21" s="1" t="s">
        <v>148</v>
      </c>
      <c r="C21">
        <v>0</v>
      </c>
      <c r="D21" t="s">
        <v>149</v>
      </c>
      <c r="F21">
        <v>180</v>
      </c>
      <c r="G21" s="5">
        <f>C21*F21</f>
        <v>0</v>
      </c>
    </row>
    <row r="22" spans="1:7" x14ac:dyDescent="0.25">
      <c r="A22" s="1" t="s">
        <v>150</v>
      </c>
      <c r="C22">
        <v>0</v>
      </c>
      <c r="D22" t="s">
        <v>151</v>
      </c>
      <c r="F22">
        <v>150</v>
      </c>
      <c r="G22" s="5">
        <f>C22*F22</f>
        <v>0</v>
      </c>
    </row>
    <row r="23" spans="1:7" x14ac:dyDescent="0.25">
      <c r="A23" s="1" t="s">
        <v>152</v>
      </c>
      <c r="C23">
        <v>0</v>
      </c>
      <c r="D23" t="s">
        <v>153</v>
      </c>
      <c r="F23">
        <v>2</v>
      </c>
      <c r="G23" s="5">
        <f>C23*F23</f>
        <v>0</v>
      </c>
    </row>
    <row r="24" spans="1:7" x14ac:dyDescent="0.25">
      <c r="A24" s="1" t="s">
        <v>154</v>
      </c>
      <c r="D24" t="s">
        <v>155</v>
      </c>
      <c r="E24" s="5">
        <f>E6</f>
        <v>1.423575</v>
      </c>
      <c r="F24">
        <f>65/E24</f>
        <v>45.6596947825018</v>
      </c>
      <c r="G24" s="5">
        <f>350000/F24</f>
        <v>7665.403846153846</v>
      </c>
    </row>
    <row r="25" spans="1:9" x14ac:dyDescent="0.25">
      <c r="A25" s="1" t="s">
        <v>139</v>
      </c>
      <c r="G25" s="5">
        <f>SUM(G19:G24)</f>
        <v>12069.443046153847</v>
      </c>
      <c r="H25" s="5">
        <f>+G25/78</f>
        <v>154.7364493096647</v>
      </c>
      <c r="I25" t="s">
        <v>156</v>
      </c>
    </row>
    <row r="26" spans="1:7" x14ac:dyDescent="0.25">
      <c r="A26" s="1" t="s">
        <v>157</v>
      </c>
      <c r="G26" s="5">
        <f>G25*15%</f>
        <v>1810.416456923077</v>
      </c>
    </row>
    <row r="27" spans="1:7" x14ac:dyDescent="0.25">
      <c r="A27" s="1" t="s">
        <v>158</v>
      </c>
      <c r="G27" s="5">
        <f>G25*15%</f>
        <v>1810.416456923077</v>
      </c>
    </row>
    <row r="28" spans="1:8" x14ac:dyDescent="0.25">
      <c r="A28" s="1" t="s">
        <v>139</v>
      </c>
      <c r="G28" s="5">
        <f>SUM(G25:G27)</f>
        <v>15690.27596</v>
      </c>
      <c r="H28" s="5">
        <f>+G28/78</f>
        <v>201.15738410256412</v>
      </c>
    </row>
    <row r="29" spans="1:7" x14ac:dyDescent="0.25">
      <c r="A29" s="1" t="s">
        <v>159</v>
      </c>
      <c r="G29" s="5">
        <f>G28*0.2</f>
        <v>3138.0551920000003</v>
      </c>
    </row>
    <row r="30" spans="1:9" x14ac:dyDescent="0.25">
      <c r="A30" s="1" t="s">
        <v>160</v>
      </c>
      <c r="G30" s="4">
        <f>G28+G29</f>
        <v>18828.331152000002</v>
      </c>
      <c r="H30" s="5">
        <f>+G30/78</f>
        <v>241.38886092307695</v>
      </c>
      <c r="I30" t="s">
        <v>156</v>
      </c>
    </row>
    <row r="31" spans="1:9" x14ac:dyDescent="0.25">
      <c r="A31" s="1" t="s">
        <v>161</v>
      </c>
      <c r="G31" s="4">
        <f>G17+G20+G21+G22+G23+G24+G26+G29</f>
        <v>16617.547495076924</v>
      </c>
      <c r="H31" s="5">
        <f>+G31/78</f>
        <v>213.0454807061144</v>
      </c>
      <c r="I31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LIST'!D6</f>
        <v>ROUND COFFEE TABLE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LIST'!C6</f>
        <v>DF20005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80X80X42</v>
      </c>
      <c r="C4"/>
      <c r="D4"/>
    </row>
    <row r="5" spans="1:4" x14ac:dyDescent="0.25">
      <c r="A5" s="1" t="s">
        <v>6</v>
      </c>
      <c r="B5" t="str">
        <f>INDEX('PRODUCT LIST'!G:G,MATCH(F2,'PRODUCT LIST'!C:C,0))</f>
        <v>85X85X47</v>
      </c>
      <c r="C5"/>
      <c r="D5"/>
    </row>
    <row r="6" spans="1:7" x14ac:dyDescent="0.25">
      <c r="A6" s="1" t="s">
        <v>7</v>
      </c>
      <c r="B6">
        <v>85</v>
      </c>
      <c r="C6">
        <v>85</v>
      </c>
      <c r="D6">
        <v>47</v>
      </c>
      <c r="E6" s="2">
        <f>B6*C6*D6/1000000</f>
        <v>0.339575</v>
      </c>
      <c r="F6" s="4">
        <f>65/E6</f>
        <v>191.41574026356474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33</v>
      </c>
      <c r="B8">
        <v>33</v>
      </c>
      <c r="C8">
        <v>1</v>
      </c>
      <c r="D8">
        <v>1</v>
      </c>
      <c r="E8">
        <f>SUM(A8*B8*C8/144*D8)</f>
        <v>7.5625</v>
      </c>
      <c r="F8">
        <f>INDEX(RATE!B:B,MATCH(A8,RATE!A:A,0))</f>
        <v>52</v>
      </c>
      <c r="G8" s="5">
        <f>SUM(E8*F8)</f>
        <v>393.25</v>
      </c>
    </row>
    <row r="9" spans="1:7" x14ac:dyDescent="0.25">
      <c r="A9" s="1">
        <v>17</v>
      </c>
      <c r="B9">
        <v>3</v>
      </c>
      <c r="C9">
        <v>3</v>
      </c>
      <c r="D9">
        <v>4</v>
      </c>
      <c r="E9">
        <f>SUM(A9*B9*C9/144*D9)</f>
        <v>4.25</v>
      </c>
      <c r="F9">
        <f>INDEX(RATE!B:B,MATCH(A9,RATE!A:A,0))</f>
        <v>42</v>
      </c>
      <c r="G9" s="5">
        <f>SUM(E9*F9)</f>
        <v>178.5</v>
      </c>
    </row>
    <row r="10" spans="1:7" x14ac:dyDescent="0.25">
      <c r="A10" s="1">
        <v>31</v>
      </c>
      <c r="B10">
        <v>4</v>
      </c>
      <c r="C10">
        <v>1</v>
      </c>
      <c r="D10">
        <v>2</v>
      </c>
      <c r="E10">
        <f>SUM(A10*B10*C10/144*D10)</f>
        <v>1.7222222222222223</v>
      </c>
      <c r="F10">
        <f>INDEX(RATE!B:B,MATCH(A10,RATE!A:A,0))</f>
        <v>52</v>
      </c>
      <c r="G10" s="5">
        <f>SUM(E10*F10)</f>
        <v>89.55555555555556</v>
      </c>
    </row>
    <row r="11" spans="1:7" x14ac:dyDescent="0.25">
      <c r="A11" s="1">
        <v>31</v>
      </c>
      <c r="B11">
        <v>4</v>
      </c>
      <c r="C11">
        <v>1</v>
      </c>
      <c r="D11">
        <v>2</v>
      </c>
      <c r="E11">
        <f>SUM(A11*B11*C11/144*D11)</f>
        <v>1.7222222222222223</v>
      </c>
      <c r="F11">
        <f>INDEX(RATE!B:B,MATCH(A11,RATE!A:A,0))</f>
        <v>52</v>
      </c>
      <c r="G11" s="5">
        <f>SUM(E11*F11)</f>
        <v>89.55555555555556</v>
      </c>
    </row>
    <row r="12" spans="1:7" x14ac:dyDescent="0.25">
      <c r="A12" s="1" t="s">
        <v>140</v>
      </c>
      <c r="E12">
        <f>SUM(E8:E11)</f>
        <v>15.256944444444443</v>
      </c>
      <c r="G12" s="5">
        <f>SUM(G8:G11)</f>
        <v>750.8611111111111</v>
      </c>
    </row>
    <row r="13" spans="1:7" x14ac:dyDescent="0.25">
      <c r="A13" s="1" t="s">
        <v>141</v>
      </c>
      <c r="E13" s="2">
        <f>+E12*0.2</f>
        <v>3.051388888888889</v>
      </c>
      <c r="G13" s="5">
        <f>+G12*0.2</f>
        <v>150.17222222222222</v>
      </c>
    </row>
    <row r="14" spans="1:7" x14ac:dyDescent="0.25">
      <c r="A14" s="1" t="s">
        <v>142</v>
      </c>
      <c r="E14" s="5">
        <f>SUM(E12:E13)</f>
        <v>18.30833333333333</v>
      </c>
      <c r="G14" s="5">
        <f>SUM(G12:G13)</f>
        <v>901.0333333333333</v>
      </c>
    </row>
    <row r="15" spans="1:7" x14ac:dyDescent="0.25">
      <c r="A15" s="1" t="s">
        <v>11</v>
      </c>
      <c r="G15" s="5">
        <f>INDEX('PRODUCT LIST'!L:L,MATCH(F2,'PRODUCT LIST'!C:C,0))</f>
        <v>550</v>
      </c>
    </row>
    <row r="16" spans="1:7" x14ac:dyDescent="0.25">
      <c r="A16" s="1" t="s">
        <v>143</v>
      </c>
      <c r="G16" s="5">
        <f>G14*8%</f>
        <v>72.08266666666667</v>
      </c>
    </row>
    <row r="17" spans="1:7" x14ac:dyDescent="0.25">
      <c r="A17" s="1" t="s">
        <v>139</v>
      </c>
      <c r="G17" s="5">
        <f>SUM(G14:G16)</f>
        <v>1523.116</v>
      </c>
    </row>
    <row r="18" spans="1:7" x14ac:dyDescent="0.25">
      <c r="A18" s="1" t="s">
        <v>144</v>
      </c>
      <c r="G18" s="5">
        <f>G17*10%</f>
        <v>152.3116</v>
      </c>
    </row>
    <row r="19" spans="1:7" x14ac:dyDescent="0.25">
      <c r="A19" s="1" t="s">
        <v>145</v>
      </c>
      <c r="G19" s="5">
        <f>G18+G17</f>
        <v>1675.4276</v>
      </c>
    </row>
    <row r="20" spans="1:7" x14ac:dyDescent="0.25">
      <c r="A20" s="1" t="s">
        <v>146</v>
      </c>
      <c r="C20">
        <v>0</v>
      </c>
      <c r="D20" t="s">
        <v>147</v>
      </c>
      <c r="F20">
        <v>35</v>
      </c>
      <c r="G20" s="5">
        <f>C20*F20</f>
        <v>0</v>
      </c>
    </row>
    <row r="21" spans="1:7" x14ac:dyDescent="0.25">
      <c r="A21" s="1" t="s">
        <v>148</v>
      </c>
      <c r="C21">
        <v>0</v>
      </c>
      <c r="D21" t="s">
        <v>149</v>
      </c>
      <c r="F21">
        <v>180</v>
      </c>
      <c r="G21" s="5">
        <f>C21*F21</f>
        <v>0</v>
      </c>
    </row>
    <row r="22" spans="1:7" x14ac:dyDescent="0.25">
      <c r="A22" s="1" t="s">
        <v>150</v>
      </c>
      <c r="C22">
        <v>0</v>
      </c>
      <c r="D22" t="s">
        <v>151</v>
      </c>
      <c r="F22">
        <v>150</v>
      </c>
      <c r="G22" s="5">
        <f>C22*F22</f>
        <v>0</v>
      </c>
    </row>
    <row r="23" spans="1:7" x14ac:dyDescent="0.25">
      <c r="A23" s="1" t="s">
        <v>152</v>
      </c>
      <c r="C23">
        <v>0</v>
      </c>
      <c r="D23" t="s">
        <v>153</v>
      </c>
      <c r="F23">
        <v>2</v>
      </c>
      <c r="G23" s="5">
        <f>C23*F23</f>
        <v>0</v>
      </c>
    </row>
    <row r="24" spans="1:7" x14ac:dyDescent="0.25">
      <c r="A24" s="1" t="s">
        <v>154</v>
      </c>
      <c r="D24" t="s">
        <v>155</v>
      </c>
      <c r="E24" s="5">
        <f>E6</f>
        <v>0.339575</v>
      </c>
      <c r="F24">
        <f>65/E24</f>
        <v>191.41574026356474</v>
      </c>
      <c r="G24" s="5">
        <f>350000/F24</f>
        <v>1828.4807692307693</v>
      </c>
    </row>
    <row r="25" spans="1:9" x14ac:dyDescent="0.25">
      <c r="A25" s="1" t="s">
        <v>139</v>
      </c>
      <c r="G25" s="5">
        <f>SUM(G19:G24)</f>
        <v>3503.9083692307695</v>
      </c>
      <c r="H25" s="5">
        <f>+G25/78</f>
        <v>44.92190216962525</v>
      </c>
      <c r="I25" t="s">
        <v>156</v>
      </c>
    </row>
    <row r="26" spans="1:7" x14ac:dyDescent="0.25">
      <c r="A26" s="1" t="s">
        <v>157</v>
      </c>
      <c r="G26" s="5">
        <f>G25*15%</f>
        <v>525.5862553846154</v>
      </c>
    </row>
    <row r="27" spans="1:7" x14ac:dyDescent="0.25">
      <c r="A27" s="1" t="s">
        <v>158</v>
      </c>
      <c r="G27" s="5">
        <f>G25*15%</f>
        <v>525.5862553846154</v>
      </c>
    </row>
    <row r="28" spans="1:8" x14ac:dyDescent="0.25">
      <c r="A28" s="1" t="s">
        <v>139</v>
      </c>
      <c r="G28" s="5">
        <f>SUM(G25:G27)</f>
        <v>4555.08088</v>
      </c>
      <c r="H28" s="5">
        <f>+G28/78</f>
        <v>58.39847282051283</v>
      </c>
    </row>
    <row r="29" spans="1:7" x14ac:dyDescent="0.25">
      <c r="A29" s="1" t="s">
        <v>159</v>
      </c>
      <c r="G29" s="5">
        <f>G28*0.2</f>
        <v>911.0161760000001</v>
      </c>
    </row>
    <row r="30" spans="1:9" x14ac:dyDescent="0.25">
      <c r="A30" s="1" t="s">
        <v>160</v>
      </c>
      <c r="G30" s="4">
        <f>G28+G29</f>
        <v>5466.0970560000005</v>
      </c>
      <c r="H30" s="5">
        <f>+G30/78</f>
        <v>70.0781673846154</v>
      </c>
      <c r="I30" t="s">
        <v>156</v>
      </c>
    </row>
    <row r="31" spans="1:9" x14ac:dyDescent="0.25">
      <c r="A31" s="1" t="s">
        <v>161</v>
      </c>
      <c r="G31" s="4">
        <f>G17+G20+G21+G22+G23+G24+G26+G29</f>
        <v>4788.199200615385</v>
      </c>
      <c r="H31" s="5">
        <f>+G31/78</f>
        <v>61.387169238658785</v>
      </c>
      <c r="I31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LIST'!D7</f>
        <v>CONSOLE TABLE WITH 2 DRAWERS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LIST'!C7</f>
        <v>DF20006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120X38X78</v>
      </c>
      <c r="C4"/>
      <c r="D4"/>
    </row>
    <row r="5" spans="1:4" x14ac:dyDescent="0.25">
      <c r="A5" s="1" t="s">
        <v>6</v>
      </c>
      <c r="B5" t="str">
        <f>INDEX('PRODUCT LIST'!G:G,MATCH(F2,'PRODUCT LIST'!C:C,0))</f>
        <v>125X43X83</v>
      </c>
      <c r="C5"/>
      <c r="D5"/>
    </row>
    <row r="6" spans="1:7" x14ac:dyDescent="0.25">
      <c r="A6" s="1" t="s">
        <v>7</v>
      </c>
      <c r="B6">
        <v>125</v>
      </c>
      <c r="C6">
        <v>43</v>
      </c>
      <c r="D6">
        <v>83</v>
      </c>
      <c r="E6" s="2">
        <f>B6*C6*D6/1000000</f>
        <v>0.446125</v>
      </c>
      <c r="F6" s="4">
        <f>65/E6</f>
        <v>145.69907537125246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49</v>
      </c>
      <c r="B8">
        <v>17</v>
      </c>
      <c r="C8">
        <v>1</v>
      </c>
      <c r="D8">
        <v>1</v>
      </c>
      <c r="E8">
        <f>SUM(A8*B8*C8/144*D8)</f>
        <v>5.784722222222222</v>
      </c>
      <c r="F8">
        <f>INDEX(RATE!B:B,MATCH(A8,RATE!A:A,0))</f>
        <v>62</v>
      </c>
      <c r="G8" s="5">
        <f>SUM(E8*F8)</f>
        <v>358.65277777777777</v>
      </c>
    </row>
    <row r="9" spans="1:7" x14ac:dyDescent="0.25">
      <c r="A9" s="1">
        <v>31</v>
      </c>
      <c r="B9">
        <v>3</v>
      </c>
      <c r="C9">
        <v>3</v>
      </c>
      <c r="D9">
        <v>4</v>
      </c>
      <c r="E9">
        <f>SUM(A9*B9*C9/144*D9)</f>
        <v>7.75</v>
      </c>
      <c r="F9">
        <f>INDEX(RATE!B:B,MATCH(A9,RATE!A:A,0))</f>
        <v>52</v>
      </c>
      <c r="G9" s="5">
        <f>SUM(E9*F9)</f>
        <v>403</v>
      </c>
    </row>
    <row r="10" spans="1:7" x14ac:dyDescent="0.25">
      <c r="A10" s="1">
        <v>47</v>
      </c>
      <c r="B10">
        <v>4</v>
      </c>
      <c r="C10">
        <v>1</v>
      </c>
      <c r="D10">
        <v>2</v>
      </c>
      <c r="E10">
        <f>SUM(A10*B10*C10/144*D10)</f>
        <v>2.611111111111111</v>
      </c>
      <c r="F10">
        <f>INDEX(RATE!B:B,MATCH(A10,RATE!A:A,0))</f>
        <v>52</v>
      </c>
      <c r="G10" s="5">
        <f>SUM(E10*F10)</f>
        <v>135.77777777777777</v>
      </c>
    </row>
    <row r="11" spans="1:7" x14ac:dyDescent="0.25">
      <c r="A11" s="1">
        <v>15</v>
      </c>
      <c r="B11">
        <v>4</v>
      </c>
      <c r="C11">
        <v>1</v>
      </c>
      <c r="D11">
        <v>2</v>
      </c>
      <c r="E11">
        <f>SUM(A11*B11*C11/144*D11)</f>
        <v>0.8333333333333334</v>
      </c>
      <c r="F11">
        <f>INDEX(RATE!B:B,MATCH(A11,RATE!A:A,0))</f>
        <v>42</v>
      </c>
      <c r="G11" s="5">
        <f>SUM(E11*F11)</f>
        <v>35</v>
      </c>
    </row>
    <row r="12" spans="1:7" x14ac:dyDescent="0.25">
      <c r="A12" s="1" t="s">
        <v>140</v>
      </c>
      <c r="E12">
        <f>SUM(E8:E11)</f>
        <v>16.979166666666664</v>
      </c>
      <c r="G12" s="5">
        <f>SUM(G8:G11)</f>
        <v>932.4305555555557</v>
      </c>
    </row>
    <row r="13" spans="1:7" x14ac:dyDescent="0.25">
      <c r="A13" s="1" t="s">
        <v>141</v>
      </c>
      <c r="E13" s="2">
        <f>+E12*0.2</f>
        <v>3.395833333333333</v>
      </c>
      <c r="G13" s="5">
        <f>+G12*0.2</f>
        <v>186.48611111111114</v>
      </c>
    </row>
    <row r="14" spans="1:7" x14ac:dyDescent="0.25">
      <c r="A14" s="1" t="s">
        <v>142</v>
      </c>
      <c r="E14" s="5">
        <f>SUM(E12:E13)</f>
        <v>20.374999999999996</v>
      </c>
      <c r="G14" s="5">
        <f>SUM(G12:G13)</f>
        <v>1118.9166666666667</v>
      </c>
    </row>
    <row r="15" spans="1:7" x14ac:dyDescent="0.25">
      <c r="A15" s="1" t="s">
        <v>11</v>
      </c>
      <c r="G15" s="5">
        <f>INDEX('PRODUCT LIST'!L:L,MATCH(F2,'PRODUCT LIST'!C:C,0))</f>
        <v>650</v>
      </c>
    </row>
    <row r="16" spans="1:7" x14ac:dyDescent="0.25">
      <c r="A16" s="1" t="s">
        <v>143</v>
      </c>
      <c r="G16" s="5">
        <f>G14*8%</f>
        <v>89.51333333333334</v>
      </c>
    </row>
    <row r="17" spans="1:7" x14ac:dyDescent="0.25">
      <c r="A17" s="1" t="s">
        <v>139</v>
      </c>
      <c r="G17" s="5">
        <f>SUM(G14:G16)</f>
        <v>1858.43</v>
      </c>
    </row>
    <row r="18" spans="1:7" x14ac:dyDescent="0.25">
      <c r="A18" s="1" t="s">
        <v>144</v>
      </c>
      <c r="G18" s="5">
        <f>G17*10%</f>
        <v>185.84300000000002</v>
      </c>
    </row>
    <row r="19" spans="1:7" x14ac:dyDescent="0.25">
      <c r="A19" s="1" t="s">
        <v>145</v>
      </c>
      <c r="G19" s="5">
        <f>G18+G17</f>
        <v>2044.2730000000001</v>
      </c>
    </row>
    <row r="20" spans="1:7" x14ac:dyDescent="0.25">
      <c r="A20" s="1" t="s">
        <v>146</v>
      </c>
      <c r="C20">
        <v>2</v>
      </c>
      <c r="D20" t="s">
        <v>147</v>
      </c>
      <c r="F20">
        <v>35</v>
      </c>
      <c r="G20" s="5">
        <f>C20*F20</f>
        <v>70</v>
      </c>
    </row>
    <row r="21" spans="1:7" x14ac:dyDescent="0.25">
      <c r="A21" s="1" t="s">
        <v>148</v>
      </c>
      <c r="C21">
        <v>0</v>
      </c>
      <c r="D21" t="s">
        <v>149</v>
      </c>
      <c r="F21">
        <v>180</v>
      </c>
      <c r="G21" s="5">
        <f>C21*F21</f>
        <v>0</v>
      </c>
    </row>
    <row r="22" spans="1:7" x14ac:dyDescent="0.25">
      <c r="A22" s="1" t="s">
        <v>150</v>
      </c>
      <c r="C22">
        <v>0</v>
      </c>
      <c r="D22" t="s">
        <v>151</v>
      </c>
      <c r="F22">
        <v>150</v>
      </c>
      <c r="G22" s="5">
        <f>C22*F22</f>
        <v>0</v>
      </c>
    </row>
    <row r="23" spans="1:7" x14ac:dyDescent="0.25">
      <c r="A23" s="1" t="s">
        <v>152</v>
      </c>
      <c r="C23">
        <v>0</v>
      </c>
      <c r="D23" t="s">
        <v>153</v>
      </c>
      <c r="F23">
        <v>2</v>
      </c>
      <c r="G23" s="5">
        <f>C23*F23</f>
        <v>0</v>
      </c>
    </row>
    <row r="24" spans="1:7" x14ac:dyDescent="0.25">
      <c r="A24" s="1" t="s">
        <v>154</v>
      </c>
      <c r="D24" t="s">
        <v>155</v>
      </c>
      <c r="E24" s="5">
        <f>E6</f>
        <v>0.446125</v>
      </c>
      <c r="F24">
        <f>65/E24</f>
        <v>145.69907537125246</v>
      </c>
      <c r="G24" s="5">
        <f>350000/F24</f>
        <v>2402.211538461538</v>
      </c>
    </row>
    <row r="25" spans="1:9" x14ac:dyDescent="0.25">
      <c r="A25" s="1" t="s">
        <v>139</v>
      </c>
      <c r="G25" s="5">
        <f>SUM(G19:G24)</f>
        <v>4516.484538461538</v>
      </c>
      <c r="H25" s="5">
        <f>+G25/78</f>
        <v>57.90364792899408</v>
      </c>
      <c r="I25" t="s">
        <v>156</v>
      </c>
    </row>
    <row r="26" spans="1:7" x14ac:dyDescent="0.25">
      <c r="A26" s="1" t="s">
        <v>157</v>
      </c>
      <c r="G26" s="5">
        <f>G25*15%</f>
        <v>677.4726807692307</v>
      </c>
    </row>
    <row r="27" spans="1:7" x14ac:dyDescent="0.25">
      <c r="A27" s="1" t="s">
        <v>158</v>
      </c>
      <c r="G27" s="5">
        <f>G25*15%</f>
        <v>677.4726807692307</v>
      </c>
    </row>
    <row r="28" spans="1:8" x14ac:dyDescent="0.25">
      <c r="A28" s="1" t="s">
        <v>139</v>
      </c>
      <c r="G28" s="5">
        <f>SUM(G25:G27)</f>
        <v>5871.429899999999</v>
      </c>
      <c r="H28" s="5">
        <f>+G28/78</f>
        <v>75.27474230769229</v>
      </c>
    </row>
    <row r="29" spans="1:7" x14ac:dyDescent="0.25">
      <c r="A29" s="1" t="s">
        <v>159</v>
      </c>
      <c r="G29" s="5">
        <f>G28*0.2</f>
        <v>1174.2859799999999</v>
      </c>
    </row>
    <row r="30" spans="1:9" x14ac:dyDescent="0.25">
      <c r="A30" s="1" t="s">
        <v>160</v>
      </c>
      <c r="G30" s="4">
        <f>G28+G29</f>
        <v>7045.715879999999</v>
      </c>
      <c r="H30" s="5">
        <f>+G30/78</f>
        <v>90.32969076923075</v>
      </c>
      <c r="I30" t="s">
        <v>156</v>
      </c>
    </row>
    <row r="31" spans="1:9" x14ac:dyDescent="0.25">
      <c r="A31" s="1" t="s">
        <v>161</v>
      </c>
      <c r="G31" s="4">
        <f>G17+G20+G21+G22+G23+G24+G26+G29</f>
        <v>6182.4001992307685</v>
      </c>
      <c r="H31" s="5">
        <f>+G31/78</f>
        <v>79.26154101577909</v>
      </c>
      <c r="I31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LIST'!D8</f>
        <v>SLATTED DINING CHAIR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LIST'!C8</f>
        <v>DF20007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45X52X88</v>
      </c>
      <c r="C4"/>
      <c r="D4"/>
    </row>
    <row r="5" spans="1:4" x14ac:dyDescent="0.25">
      <c r="A5" s="1" t="s">
        <v>6</v>
      </c>
      <c r="B5" t="str">
        <f>INDEX('PRODUCT LIST'!G:G,MATCH(F2,'PRODUCT LIST'!C:C,0))</f>
        <v>50X57X93</v>
      </c>
      <c r="C5"/>
      <c r="D5"/>
    </row>
    <row r="6" spans="1:7" x14ac:dyDescent="0.25">
      <c r="A6" s="1" t="s">
        <v>7</v>
      </c>
      <c r="B6">
        <v>50</v>
      </c>
      <c r="C6">
        <v>57</v>
      </c>
      <c r="D6">
        <v>93</v>
      </c>
      <c r="E6" s="2">
        <f>B6*C6*D6/1000000</f>
        <v>0.26505</v>
      </c>
      <c r="F6" s="4">
        <f>65/E6</f>
        <v>245.23674778343707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19</v>
      </c>
      <c r="B8">
        <v>21</v>
      </c>
      <c r="C8">
        <v>1</v>
      </c>
      <c r="D8">
        <v>1</v>
      </c>
      <c r="E8">
        <f>SUM(A8*B8*C8/144*D8)</f>
        <v>2.7708333333333335</v>
      </c>
      <c r="F8">
        <f>INDEX(RATE!B:B,MATCH(A8,RATE!A:A,0))</f>
        <v>42</v>
      </c>
      <c r="G8" s="5">
        <f>SUM(E8*F8)</f>
        <v>116.375</v>
      </c>
    </row>
    <row r="9" spans="1:7" x14ac:dyDescent="0.25">
      <c r="A9" s="1">
        <v>35</v>
      </c>
      <c r="B9">
        <v>2</v>
      </c>
      <c r="C9">
        <v>2</v>
      </c>
      <c r="D9">
        <v>4</v>
      </c>
      <c r="E9">
        <f>SUM(A9*B9*C9/144*D9)</f>
        <v>3.888888888888889</v>
      </c>
      <c r="F9">
        <f>INDEX(RATE!B:B,MATCH(A9,RATE!A:A,0))</f>
        <v>52</v>
      </c>
      <c r="G9" s="5">
        <f>SUM(E9*F9)</f>
        <v>202.22222222222223</v>
      </c>
    </row>
    <row r="10" spans="1:7" x14ac:dyDescent="0.25">
      <c r="A10" s="1">
        <v>18</v>
      </c>
      <c r="B10">
        <v>3</v>
      </c>
      <c r="C10">
        <v>1</v>
      </c>
      <c r="D10">
        <v>4</v>
      </c>
      <c r="E10">
        <f>SUM(A10*B10*C10/144*D10)</f>
        <v>1.5</v>
      </c>
      <c r="F10">
        <f>INDEX(RATE!B:B,MATCH(A10,RATE!A:A,0))</f>
        <v>42</v>
      </c>
      <c r="G10" s="5">
        <f>SUM(E10*F10)</f>
        <v>63</v>
      </c>
    </row>
    <row r="11" spans="1:7" x14ac:dyDescent="0.25">
      <c r="A11" s="1">
        <v>20</v>
      </c>
      <c r="B11">
        <v>3</v>
      </c>
      <c r="C11">
        <v>1</v>
      </c>
      <c r="D11">
        <v>2</v>
      </c>
      <c r="E11">
        <f>SUM(A11*B11*C11/144*D11)</f>
        <v>0.8333333333333334</v>
      </c>
      <c r="F11">
        <f>INDEX(RATE!B:B,MATCH(A11,RATE!A:A,0))</f>
        <v>42</v>
      </c>
      <c r="G11" s="5">
        <f>SUM(E11*F11)</f>
        <v>35</v>
      </c>
    </row>
    <row r="12" spans="1:7" x14ac:dyDescent="0.25">
      <c r="A12" s="1" t="s">
        <v>140</v>
      </c>
      <c r="E12">
        <f>SUM(E8:E11)</f>
        <v>8.993055555555555</v>
      </c>
      <c r="G12" s="5">
        <f>SUM(G8:G11)</f>
        <v>416.59722222222223</v>
      </c>
    </row>
    <row r="13" spans="1:7" x14ac:dyDescent="0.25">
      <c r="A13" s="1" t="s">
        <v>141</v>
      </c>
      <c r="E13" s="2">
        <f>+E12*0.2</f>
        <v>1.7986111111111112</v>
      </c>
      <c r="G13" s="5">
        <f>+G12*0.2</f>
        <v>83.31944444444446</v>
      </c>
    </row>
    <row r="14" spans="1:7" x14ac:dyDescent="0.25">
      <c r="A14" s="1" t="s">
        <v>142</v>
      </c>
      <c r="E14" s="5">
        <f>SUM(E12:E13)</f>
        <v>10.791666666666666</v>
      </c>
      <c r="G14" s="5">
        <f>SUM(G12:G13)</f>
        <v>499.9166666666667</v>
      </c>
    </row>
    <row r="15" spans="1:7" x14ac:dyDescent="0.25">
      <c r="A15" s="1" t="s">
        <v>11</v>
      </c>
      <c r="G15" s="5">
        <f>INDEX('PRODUCT LIST'!L:L,MATCH(F2,'PRODUCT LIST'!C:C,0))</f>
        <v>420</v>
      </c>
    </row>
    <row r="16" spans="1:7" x14ac:dyDescent="0.25">
      <c r="A16" s="1" t="s">
        <v>143</v>
      </c>
      <c r="G16" s="5">
        <f>G14*8%</f>
        <v>39.99333333333333</v>
      </c>
    </row>
    <row r="17" spans="1:7" x14ac:dyDescent="0.25">
      <c r="A17" s="1" t="s">
        <v>139</v>
      </c>
      <c r="G17" s="5">
        <f>SUM(G14:G16)</f>
        <v>959.9100000000001</v>
      </c>
    </row>
    <row r="18" spans="1:7" x14ac:dyDescent="0.25">
      <c r="A18" s="1" t="s">
        <v>144</v>
      </c>
      <c r="G18" s="5">
        <f>G17*10%</f>
        <v>95.99100000000001</v>
      </c>
    </row>
    <row r="19" spans="1:7" x14ac:dyDescent="0.25">
      <c r="A19" s="1" t="s">
        <v>145</v>
      </c>
      <c r="G19" s="5">
        <f>G18+G17</f>
        <v>1055.901</v>
      </c>
    </row>
    <row r="20" spans="1:7" x14ac:dyDescent="0.25">
      <c r="A20" s="1" t="s">
        <v>146</v>
      </c>
      <c r="C20">
        <v>0</v>
      </c>
      <c r="D20" t="s">
        <v>147</v>
      </c>
      <c r="F20">
        <v>35</v>
      </c>
      <c r="G20" s="5">
        <f>C20*F20</f>
        <v>0</v>
      </c>
    </row>
    <row r="21" spans="1:7" x14ac:dyDescent="0.25">
      <c r="A21" s="1" t="s">
        <v>148</v>
      </c>
      <c r="C21">
        <v>0</v>
      </c>
      <c r="D21" t="s">
        <v>149</v>
      </c>
      <c r="F21">
        <v>180</v>
      </c>
      <c r="G21" s="5">
        <f>C21*F21</f>
        <v>0</v>
      </c>
    </row>
    <row r="22" spans="1:7" x14ac:dyDescent="0.25">
      <c r="A22" s="1" t="s">
        <v>150</v>
      </c>
      <c r="C22">
        <v>0</v>
      </c>
      <c r="D22" t="s">
        <v>151</v>
      </c>
      <c r="F22">
        <v>150</v>
      </c>
      <c r="G22" s="5">
        <f>C22*F22</f>
        <v>0</v>
      </c>
    </row>
    <row r="23" spans="1:7" x14ac:dyDescent="0.25">
      <c r="A23" s="1" t="s">
        <v>152</v>
      </c>
      <c r="C23">
        <v>0</v>
      </c>
      <c r="D23" t="s">
        <v>153</v>
      </c>
      <c r="F23">
        <v>2</v>
      </c>
      <c r="G23" s="5">
        <f>C23*F23</f>
        <v>0</v>
      </c>
    </row>
    <row r="24" spans="1:7" x14ac:dyDescent="0.25">
      <c r="A24" s="1" t="s">
        <v>154</v>
      </c>
      <c r="D24" t="s">
        <v>155</v>
      </c>
      <c r="E24" s="5">
        <f>E6</f>
        <v>0.26505</v>
      </c>
      <c r="F24">
        <f>65/E24</f>
        <v>245.23674778343707</v>
      </c>
      <c r="G24" s="5">
        <f>350000/F24</f>
        <v>1427.1923076923078</v>
      </c>
    </row>
    <row r="25" spans="1:9" x14ac:dyDescent="0.25">
      <c r="A25" s="1" t="s">
        <v>139</v>
      </c>
      <c r="G25" s="5">
        <f>SUM(G19:G24)</f>
        <v>2483.093307692308</v>
      </c>
      <c r="H25" s="5">
        <f>+G25/78</f>
        <v>31.83452958579882</v>
      </c>
      <c r="I25" t="s">
        <v>156</v>
      </c>
    </row>
    <row r="26" spans="1:7" x14ac:dyDescent="0.25">
      <c r="A26" s="1" t="s">
        <v>157</v>
      </c>
      <c r="G26" s="5">
        <f>G25*15%</f>
        <v>372.46399615384615</v>
      </c>
    </row>
    <row r="27" spans="1:7" x14ac:dyDescent="0.25">
      <c r="A27" s="1" t="s">
        <v>158</v>
      </c>
      <c r="G27" s="5">
        <f>G25*15%</f>
        <v>372.46399615384615</v>
      </c>
    </row>
    <row r="28" spans="1:8" x14ac:dyDescent="0.25">
      <c r="A28" s="1" t="s">
        <v>139</v>
      </c>
      <c r="G28" s="5">
        <f>SUM(G25:G27)</f>
        <v>3228.0213000000003</v>
      </c>
      <c r="H28" s="5">
        <f>+G28/78</f>
        <v>41.384888461538466</v>
      </c>
    </row>
    <row r="29" spans="1:7" x14ac:dyDescent="0.25">
      <c r="A29" s="1" t="s">
        <v>159</v>
      </c>
      <c r="G29" s="5">
        <f>G28*0.2</f>
        <v>645.6042600000001</v>
      </c>
    </row>
    <row r="30" spans="1:9" x14ac:dyDescent="0.25">
      <c r="A30" s="1" t="s">
        <v>160</v>
      </c>
      <c r="G30" s="4">
        <f>G28+G29</f>
        <v>3873.6255600000004</v>
      </c>
      <c r="H30" s="5">
        <f>+G30/78</f>
        <v>49.66186615384616</v>
      </c>
      <c r="I30" t="s">
        <v>156</v>
      </c>
    </row>
    <row r="31" spans="1:9" x14ac:dyDescent="0.25">
      <c r="A31" s="1" t="s">
        <v>161</v>
      </c>
      <c r="G31" s="4">
        <f>G17+G20+G21+G22+G23+G24+G26+G29</f>
        <v>3405.170563846154</v>
      </c>
      <c r="H31" s="5">
        <f>+G31/78</f>
        <v>43.65603286982249</v>
      </c>
      <c r="I31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LIST'!D9</f>
        <v>COUNTER BAR STOOL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LIST'!C9</f>
        <v>DF20008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40X40X75</v>
      </c>
      <c r="C4"/>
      <c r="D4"/>
    </row>
    <row r="5" spans="1:4" x14ac:dyDescent="0.25">
      <c r="A5" s="1" t="s">
        <v>6</v>
      </c>
      <c r="B5" t="str">
        <f>INDEX('PRODUCT LIST'!G:G,MATCH(F2,'PRODUCT LIST'!C:C,0))</f>
        <v>45X45X80</v>
      </c>
      <c r="C5"/>
      <c r="D5"/>
    </row>
    <row r="6" spans="1:7" x14ac:dyDescent="0.25">
      <c r="A6" s="1" t="s">
        <v>7</v>
      </c>
      <c r="B6">
        <v>45</v>
      </c>
      <c r="C6">
        <v>45</v>
      </c>
      <c r="D6">
        <v>80</v>
      </c>
      <c r="E6" s="2">
        <f>B6*C6*D6/1000000</f>
        <v>0.162</v>
      </c>
      <c r="F6" s="4">
        <f>65/E6</f>
        <v>401.2345679012345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17</v>
      </c>
      <c r="B8">
        <v>17</v>
      </c>
      <c r="C8">
        <v>1</v>
      </c>
      <c r="D8">
        <v>1</v>
      </c>
      <c r="E8">
        <f>SUM(A8*B8*C8/144*D8)</f>
        <v>2.0069444444444446</v>
      </c>
      <c r="F8">
        <f>INDEX(RATE!B:B,MATCH(A8,RATE!A:A,0))</f>
        <v>42</v>
      </c>
      <c r="G8" s="5">
        <f>SUM(E8*F8)</f>
        <v>84.29166666666667</v>
      </c>
    </row>
    <row r="9" spans="1:7" x14ac:dyDescent="0.25">
      <c r="A9" s="1">
        <v>30</v>
      </c>
      <c r="B9">
        <v>2</v>
      </c>
      <c r="C9">
        <v>2</v>
      </c>
      <c r="D9">
        <v>4</v>
      </c>
      <c r="E9">
        <f>SUM(A9*B9*C9/144*D9)</f>
        <v>3.3333333333333335</v>
      </c>
      <c r="F9">
        <f>INDEX(RATE!B:B,MATCH(A9,RATE!A:A,0))</f>
        <v>52</v>
      </c>
      <c r="G9" s="5">
        <f>SUM(E9*F9)</f>
        <v>173.33333333333334</v>
      </c>
    </row>
    <row r="10" spans="1:7" x14ac:dyDescent="0.25">
      <c r="A10" s="1">
        <v>16</v>
      </c>
      <c r="B10">
        <v>3</v>
      </c>
      <c r="C10">
        <v>1</v>
      </c>
      <c r="D10">
        <v>4</v>
      </c>
      <c r="E10">
        <f>SUM(A10*B10*C10/144*D10)</f>
        <v>1.3333333333333333</v>
      </c>
      <c r="F10">
        <f>INDEX(RATE!B:B,MATCH(A10,RATE!A:A,0))</f>
        <v>42</v>
      </c>
      <c r="G10" s="5">
        <f>SUM(E10*F10)</f>
        <v>56</v>
      </c>
    </row>
    <row r="11" spans="1:7" x14ac:dyDescent="0.25">
      <c r="A11" s="1">
        <v>16</v>
      </c>
      <c r="B11">
        <v>3</v>
      </c>
      <c r="C11">
        <v>1</v>
      </c>
      <c r="D11">
        <v>2</v>
      </c>
      <c r="E11">
        <f>SUM(A11*B11*C11/144*D11)</f>
        <v>0.6666666666666666</v>
      </c>
      <c r="F11">
        <f>INDEX(RATE!B:B,MATCH(A11,RATE!A:A,0))</f>
        <v>42</v>
      </c>
      <c r="G11" s="5">
        <f>SUM(E11*F11)</f>
        <v>28</v>
      </c>
    </row>
    <row r="12" spans="1:7" x14ac:dyDescent="0.25">
      <c r="A12" s="1" t="s">
        <v>140</v>
      </c>
      <c r="E12">
        <f>SUM(E8:E11)</f>
        <v>7.340277777777779</v>
      </c>
      <c r="G12" s="5">
        <f>SUM(G8:G11)</f>
        <v>341.625</v>
      </c>
    </row>
    <row r="13" spans="1:7" x14ac:dyDescent="0.25">
      <c r="A13" s="1" t="s">
        <v>141</v>
      </c>
      <c r="E13" s="2">
        <f>+E12*0.2</f>
        <v>1.468055555555556</v>
      </c>
      <c r="G13" s="5">
        <f>+G12*0.2</f>
        <v>68.325</v>
      </c>
    </row>
    <row r="14" spans="1:7" x14ac:dyDescent="0.25">
      <c r="A14" s="1" t="s">
        <v>142</v>
      </c>
      <c r="E14" s="5">
        <f>SUM(E12:E13)</f>
        <v>8.808333333333334</v>
      </c>
      <c r="G14" s="5">
        <f>SUM(G12:G13)</f>
        <v>409.95</v>
      </c>
    </row>
    <row r="15" spans="1:7" x14ac:dyDescent="0.25">
      <c r="A15" s="1" t="s">
        <v>11</v>
      </c>
      <c r="G15" s="5">
        <f>INDEX('PRODUCT LIST'!L:L,MATCH(F2,'PRODUCT LIST'!C:C,0))</f>
        <v>300</v>
      </c>
    </row>
    <row r="16" spans="1:7" x14ac:dyDescent="0.25">
      <c r="A16" s="1" t="s">
        <v>143</v>
      </c>
      <c r="G16" s="5">
        <f>G14*8%</f>
        <v>32.796</v>
      </c>
    </row>
    <row r="17" spans="1:7" x14ac:dyDescent="0.25">
      <c r="A17" s="1" t="s">
        <v>139</v>
      </c>
      <c r="G17" s="5">
        <f>SUM(G14:G16)</f>
        <v>742.7460000000001</v>
      </c>
    </row>
    <row r="18" spans="1:7" x14ac:dyDescent="0.25">
      <c r="A18" s="1" t="s">
        <v>144</v>
      </c>
      <c r="G18" s="5">
        <f>G17*10%</f>
        <v>74.2746</v>
      </c>
    </row>
    <row r="19" spans="1:7" x14ac:dyDescent="0.25">
      <c r="A19" s="1" t="s">
        <v>145</v>
      </c>
      <c r="G19" s="5">
        <f>G18+G17</f>
        <v>817.0206000000001</v>
      </c>
    </row>
    <row r="20" spans="1:7" x14ac:dyDescent="0.25">
      <c r="A20" s="1" t="s">
        <v>146</v>
      </c>
      <c r="C20">
        <v>0</v>
      </c>
      <c r="D20" t="s">
        <v>147</v>
      </c>
      <c r="F20">
        <v>35</v>
      </c>
      <c r="G20" s="5">
        <f>C20*F20</f>
        <v>0</v>
      </c>
    </row>
    <row r="21" spans="1:7" x14ac:dyDescent="0.25">
      <c r="A21" s="1" t="s">
        <v>148</v>
      </c>
      <c r="C21">
        <v>0</v>
      </c>
      <c r="D21" t="s">
        <v>149</v>
      </c>
      <c r="F21">
        <v>180</v>
      </c>
      <c r="G21" s="5">
        <f>C21*F21</f>
        <v>0</v>
      </c>
    </row>
    <row r="22" spans="1:7" x14ac:dyDescent="0.25">
      <c r="A22" s="1" t="s">
        <v>150</v>
      </c>
      <c r="C22">
        <v>2</v>
      </c>
      <c r="D22" t="s">
        <v>151</v>
      </c>
      <c r="F22">
        <v>150</v>
      </c>
      <c r="G22" s="5">
        <f>C22*F22</f>
        <v>300</v>
      </c>
    </row>
    <row r="23" spans="1:7" x14ac:dyDescent="0.25">
      <c r="A23" s="1" t="s">
        <v>152</v>
      </c>
      <c r="C23">
        <v>0</v>
      </c>
      <c r="D23" t="s">
        <v>153</v>
      </c>
      <c r="F23">
        <v>2</v>
      </c>
      <c r="G23" s="5">
        <f>C23*F23</f>
        <v>0</v>
      </c>
    </row>
    <row r="24" spans="1:7" x14ac:dyDescent="0.25">
      <c r="A24" s="1" t="s">
        <v>154</v>
      </c>
      <c r="D24" t="s">
        <v>155</v>
      </c>
      <c r="E24" s="5">
        <f>E6</f>
        <v>0.162</v>
      </c>
      <c r="F24">
        <f>65/E24</f>
        <v>401.2345679012345</v>
      </c>
      <c r="G24" s="5">
        <f>350000/F24</f>
        <v>872.3076923076924</v>
      </c>
    </row>
    <row r="25" spans="1:9" x14ac:dyDescent="0.25">
      <c r="A25" s="1" t="s">
        <v>139</v>
      </c>
      <c r="G25" s="5">
        <f>SUM(G19:G24)</f>
        <v>1989.3282923076924</v>
      </c>
      <c r="H25" s="5">
        <f>+G25/78</f>
        <v>25.504208875739646</v>
      </c>
      <c r="I25" t="s">
        <v>156</v>
      </c>
    </row>
    <row r="26" spans="1:7" x14ac:dyDescent="0.25">
      <c r="A26" s="1" t="s">
        <v>157</v>
      </c>
      <c r="G26" s="5">
        <f>G25*15%</f>
        <v>298.39924384615387</v>
      </c>
    </row>
    <row r="27" spans="1:7" x14ac:dyDescent="0.25">
      <c r="A27" s="1" t="s">
        <v>158</v>
      </c>
      <c r="G27" s="5">
        <f>G25*15%</f>
        <v>298.39924384615387</v>
      </c>
    </row>
    <row r="28" spans="1:8" x14ac:dyDescent="0.25">
      <c r="A28" s="1" t="s">
        <v>139</v>
      </c>
      <c r="G28" s="5">
        <f>SUM(G25:G27)</f>
        <v>2586.12678</v>
      </c>
      <c r="H28" s="5">
        <f>+G28/78</f>
        <v>33.15547153846154</v>
      </c>
    </row>
    <row r="29" spans="1:7" x14ac:dyDescent="0.25">
      <c r="A29" s="1" t="s">
        <v>159</v>
      </c>
      <c r="G29" s="5">
        <f>G28*0.2</f>
        <v>517.225356</v>
      </c>
    </row>
    <row r="30" spans="1:9" x14ac:dyDescent="0.25">
      <c r="A30" s="1" t="s">
        <v>160</v>
      </c>
      <c r="G30" s="4">
        <f>G28+G29</f>
        <v>3103.352136</v>
      </c>
      <c r="H30" s="5">
        <f>+G30/78</f>
        <v>39.78656584615385</v>
      </c>
      <c r="I30" t="s">
        <v>156</v>
      </c>
    </row>
    <row r="31" spans="1:9" x14ac:dyDescent="0.25">
      <c r="A31" s="1" t="s">
        <v>161</v>
      </c>
      <c r="G31" s="4">
        <f>G17+G20+G21+G22+G23+G24+G26+G29</f>
        <v>2730.678292153846</v>
      </c>
      <c r="H31" s="5">
        <f>+G31/78</f>
        <v>35.00869605325444</v>
      </c>
      <c r="I31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LIST'!D10</f>
        <v>ENTRYWAY BENCH WITH SHELF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LIST'!C10</f>
        <v>DF20009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120X38X46</v>
      </c>
      <c r="C4"/>
      <c r="D4"/>
    </row>
    <row r="5" spans="1:4" x14ac:dyDescent="0.25">
      <c r="A5" s="1" t="s">
        <v>6</v>
      </c>
      <c r="B5" t="str">
        <f>INDEX('PRODUCT LIST'!G:G,MATCH(F2,'PRODUCT LIST'!C:C,0))</f>
        <v>125X43X51</v>
      </c>
      <c r="C5"/>
      <c r="D5"/>
    </row>
    <row r="6" spans="1:7" x14ac:dyDescent="0.25">
      <c r="A6" s="1" t="s">
        <v>7</v>
      </c>
      <c r="B6">
        <v>125</v>
      </c>
      <c r="C6">
        <v>43</v>
      </c>
      <c r="D6">
        <v>51</v>
      </c>
      <c r="E6" s="2">
        <f>B6*C6*D6/1000000</f>
        <v>0.274125</v>
      </c>
      <c r="F6" s="4">
        <f>65/E6</f>
        <v>237.11810305517554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48</v>
      </c>
      <c r="B8">
        <v>16</v>
      </c>
      <c r="C8">
        <v>1</v>
      </c>
      <c r="D8">
        <v>1</v>
      </c>
      <c r="E8">
        <f>SUM(A8*B8*C8/144*D8)</f>
        <v>5.333333333333333</v>
      </c>
      <c r="F8">
        <f>INDEX(RATE!B:B,MATCH(A8,RATE!A:A,0))</f>
        <v>52</v>
      </c>
      <c r="G8" s="5">
        <f>SUM(E8*F8)</f>
        <v>277.3333333333333</v>
      </c>
    </row>
    <row r="9" spans="1:7" x14ac:dyDescent="0.25">
      <c r="A9" s="1">
        <v>18</v>
      </c>
      <c r="B9">
        <v>2</v>
      </c>
      <c r="C9">
        <v>2</v>
      </c>
      <c r="D9">
        <v>4</v>
      </c>
      <c r="E9">
        <f>SUM(A9*B9*C9/144*D9)</f>
        <v>2</v>
      </c>
      <c r="F9">
        <f>INDEX(RATE!B:B,MATCH(A9,RATE!A:A,0))</f>
        <v>42</v>
      </c>
      <c r="G9" s="5">
        <f>SUM(E9*F9)</f>
        <v>84</v>
      </c>
    </row>
    <row r="10" spans="1:7" x14ac:dyDescent="0.25">
      <c r="A10" s="1">
        <v>47</v>
      </c>
      <c r="B10">
        <v>3</v>
      </c>
      <c r="C10">
        <v>1</v>
      </c>
      <c r="D10">
        <v>4</v>
      </c>
      <c r="E10">
        <f>SUM(A10*B10*C10/144*D10)</f>
        <v>3.9166666666666665</v>
      </c>
      <c r="F10">
        <f>INDEX(RATE!B:B,MATCH(A10,RATE!A:A,0))</f>
        <v>52</v>
      </c>
      <c r="G10" s="5">
        <f>SUM(E10*F10)</f>
        <v>203.66666666666666</v>
      </c>
    </row>
    <row r="11" spans="1:7" x14ac:dyDescent="0.25">
      <c r="A11" s="1">
        <v>15</v>
      </c>
      <c r="B11">
        <v>3</v>
      </c>
      <c r="C11">
        <v>1</v>
      </c>
      <c r="D11">
        <v>2</v>
      </c>
      <c r="E11">
        <f>SUM(A11*B11*C11/144*D11)</f>
        <v>0.625</v>
      </c>
      <c r="F11">
        <f>INDEX(RATE!B:B,MATCH(A11,RATE!A:A,0))</f>
        <v>42</v>
      </c>
      <c r="G11" s="5">
        <f>SUM(E11*F11)</f>
        <v>26.25</v>
      </c>
    </row>
    <row r="12" spans="1:7" x14ac:dyDescent="0.25">
      <c r="A12" s="1" t="s">
        <v>140</v>
      </c>
      <c r="E12">
        <f>SUM(E8:E11)</f>
        <v>11.875</v>
      </c>
      <c r="G12" s="5">
        <f>SUM(G8:G11)</f>
        <v>591.25</v>
      </c>
    </row>
    <row r="13" spans="1:7" x14ac:dyDescent="0.25">
      <c r="A13" s="1" t="s">
        <v>141</v>
      </c>
      <c r="E13" s="2">
        <f>+E12*0.2</f>
        <v>2.375</v>
      </c>
      <c r="G13" s="5">
        <f>+G12*0.2</f>
        <v>118.25</v>
      </c>
    </row>
    <row r="14" spans="1:7" x14ac:dyDescent="0.25">
      <c r="A14" s="1" t="s">
        <v>142</v>
      </c>
      <c r="E14" s="5">
        <f>SUM(E12:E13)</f>
        <v>14.25</v>
      </c>
      <c r="G14" s="5">
        <f>SUM(G12:G13)</f>
        <v>709.5</v>
      </c>
    </row>
    <row r="15" spans="1:7" x14ac:dyDescent="0.25">
      <c r="A15" s="1" t="s">
        <v>11</v>
      </c>
      <c r="G15" s="5">
        <f>INDEX('PRODUCT LIST'!L:L,MATCH(F2,'PRODUCT LIST'!C:C,0))</f>
        <v>500</v>
      </c>
    </row>
    <row r="16" spans="1:7" x14ac:dyDescent="0.25">
      <c r="A16" s="1" t="s">
        <v>143</v>
      </c>
      <c r="G16" s="5">
        <f>G14*8%</f>
        <v>56.76</v>
      </c>
    </row>
    <row r="17" spans="1:7" x14ac:dyDescent="0.25">
      <c r="A17" s="1" t="s">
        <v>139</v>
      </c>
      <c r="G17" s="5">
        <f>SUM(G14:G16)</f>
        <v>1266.26</v>
      </c>
    </row>
    <row r="18" spans="1:7" x14ac:dyDescent="0.25">
      <c r="A18" s="1" t="s">
        <v>144</v>
      </c>
      <c r="G18" s="5">
        <f>G17*10%</f>
        <v>126.626</v>
      </c>
    </row>
    <row r="19" spans="1:7" x14ac:dyDescent="0.25">
      <c r="A19" s="1" t="s">
        <v>145</v>
      </c>
      <c r="G19" s="5">
        <f>G18+G17</f>
        <v>1392.886</v>
      </c>
    </row>
    <row r="20" spans="1:7" x14ac:dyDescent="0.25">
      <c r="A20" s="1" t="s">
        <v>146</v>
      </c>
      <c r="C20">
        <v>0</v>
      </c>
      <c r="D20" t="s">
        <v>147</v>
      </c>
      <c r="F20">
        <v>35</v>
      </c>
      <c r="G20" s="5">
        <f>C20*F20</f>
        <v>0</v>
      </c>
    </row>
    <row r="21" spans="1:7" x14ac:dyDescent="0.25">
      <c r="A21" s="1" t="s">
        <v>148</v>
      </c>
      <c r="C21">
        <v>0</v>
      </c>
      <c r="D21" t="s">
        <v>149</v>
      </c>
      <c r="F21">
        <v>180</v>
      </c>
      <c r="G21" s="5">
        <f>C21*F21</f>
        <v>0</v>
      </c>
    </row>
    <row r="22" spans="1:7" x14ac:dyDescent="0.25">
      <c r="A22" s="1" t="s">
        <v>150</v>
      </c>
      <c r="C22">
        <v>0</v>
      </c>
      <c r="D22" t="s">
        <v>151</v>
      </c>
      <c r="F22">
        <v>150</v>
      </c>
      <c r="G22" s="5">
        <f>C22*F22</f>
        <v>0</v>
      </c>
    </row>
    <row r="23" spans="1:7" x14ac:dyDescent="0.25">
      <c r="A23" s="1" t="s">
        <v>152</v>
      </c>
      <c r="C23">
        <v>0</v>
      </c>
      <c r="D23" t="s">
        <v>153</v>
      </c>
      <c r="F23">
        <v>2</v>
      </c>
      <c r="G23" s="5">
        <f>C23*F23</f>
        <v>0</v>
      </c>
    </row>
    <row r="24" spans="1:7" x14ac:dyDescent="0.25">
      <c r="A24" s="1" t="s">
        <v>154</v>
      </c>
      <c r="D24" t="s">
        <v>155</v>
      </c>
      <c r="E24" s="5">
        <f>E6</f>
        <v>0.274125</v>
      </c>
      <c r="F24">
        <f>65/E24</f>
        <v>237.11810305517554</v>
      </c>
      <c r="G24" s="5">
        <f>350000/F24</f>
        <v>1476.0576923076924</v>
      </c>
    </row>
    <row r="25" spans="1:9" x14ac:dyDescent="0.25">
      <c r="A25" s="1" t="s">
        <v>139</v>
      </c>
      <c r="G25" s="5">
        <f>SUM(G19:G24)</f>
        <v>2868.9436923076923</v>
      </c>
      <c r="H25" s="5">
        <f>+G25/78</f>
        <v>36.78132938856016</v>
      </c>
      <c r="I25" t="s">
        <v>156</v>
      </c>
    </row>
    <row r="26" spans="1:7" x14ac:dyDescent="0.25">
      <c r="A26" s="1" t="s">
        <v>157</v>
      </c>
      <c r="G26" s="5">
        <f>G25*15%</f>
        <v>430.34155384615383</v>
      </c>
    </row>
    <row r="27" spans="1:7" x14ac:dyDescent="0.25">
      <c r="A27" s="1" t="s">
        <v>158</v>
      </c>
      <c r="G27" s="5">
        <f>G25*15%</f>
        <v>430.34155384615383</v>
      </c>
    </row>
    <row r="28" spans="1:8" x14ac:dyDescent="0.25">
      <c r="A28" s="1" t="s">
        <v>139</v>
      </c>
      <c r="G28" s="5">
        <f>SUM(G25:G27)</f>
        <v>3729.6268</v>
      </c>
      <c r="H28" s="5">
        <f>+G28/78</f>
        <v>47.8157282051282</v>
      </c>
    </row>
    <row r="29" spans="1:7" x14ac:dyDescent="0.25">
      <c r="A29" s="1" t="s">
        <v>159</v>
      </c>
      <c r="G29" s="5">
        <f>G28*0.2</f>
        <v>745.9253600000001</v>
      </c>
    </row>
    <row r="30" spans="1:9" x14ac:dyDescent="0.25">
      <c r="A30" s="1" t="s">
        <v>160</v>
      </c>
      <c r="G30" s="4">
        <f>G28+G29</f>
        <v>4475.55216</v>
      </c>
      <c r="H30" s="5">
        <f>+G30/78</f>
        <v>57.37887384615385</v>
      </c>
      <c r="I30" t="s">
        <v>156</v>
      </c>
    </row>
    <row r="31" spans="1:9" x14ac:dyDescent="0.25">
      <c r="A31" s="1" t="s">
        <v>161</v>
      </c>
      <c r="G31" s="4">
        <f>G17+G20+G21+G22+G23+G24+G26+G29</f>
        <v>3918.584606153847</v>
      </c>
      <c r="H31" s="5">
        <f>+G31/78</f>
        <v>50.23826418145958</v>
      </c>
      <c r="I31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LIST'!D11</f>
        <v>FIVE TIER BOOKSHELF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LIST'!C11</f>
        <v>DF20010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80X35X180</v>
      </c>
      <c r="C4"/>
      <c r="D4"/>
    </row>
    <row r="5" spans="1:4" x14ac:dyDescent="0.25">
      <c r="A5" s="1" t="s">
        <v>6</v>
      </c>
      <c r="B5" t="str">
        <f>INDEX('PRODUCT LIST'!G:G,MATCH(F2,'PRODUCT LIST'!C:C,0))</f>
        <v>85X40X185</v>
      </c>
      <c r="C5"/>
      <c r="D5"/>
    </row>
    <row r="6" spans="1:7" x14ac:dyDescent="0.25">
      <c r="A6" s="1" t="s">
        <v>7</v>
      </c>
      <c r="B6">
        <v>85</v>
      </c>
      <c r="C6">
        <v>40</v>
      </c>
      <c r="D6">
        <v>185</v>
      </c>
      <c r="E6" s="2">
        <f>B6*C6*D6/1000000</f>
        <v>0.629</v>
      </c>
      <c r="F6" s="4">
        <f>65/E6</f>
        <v>103.33863275039745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33</v>
      </c>
      <c r="B8">
        <v>15</v>
      </c>
      <c r="C8">
        <v>1</v>
      </c>
      <c r="D8">
        <v>1</v>
      </c>
      <c r="E8">
        <f>SUM(A8*B8*C8/144*D8)</f>
        <v>3.4375</v>
      </c>
      <c r="F8">
        <f>INDEX(RATE!B:B,MATCH(A8,RATE!A:A,0))</f>
        <v>52</v>
      </c>
      <c r="G8" s="5">
        <f>SUM(E8*F8)</f>
        <v>178.75</v>
      </c>
    </row>
    <row r="9" spans="1:7" x14ac:dyDescent="0.25">
      <c r="A9" s="1">
        <v>72</v>
      </c>
      <c r="B9">
        <v>14</v>
      </c>
      <c r="C9">
        <v>1</v>
      </c>
      <c r="D9">
        <v>2</v>
      </c>
      <c r="E9">
        <f>SUM(A9*B9*C9/144*D9)</f>
        <v>14</v>
      </c>
      <c r="F9">
        <f>INDEX(RATE!B:B,MATCH(A9,RATE!A:A,0))</f>
        <v>62</v>
      </c>
      <c r="G9" s="5">
        <f>SUM(E9*F9)</f>
        <v>868</v>
      </c>
    </row>
    <row r="10" spans="1:7" x14ac:dyDescent="0.25">
      <c r="A10" s="1">
        <v>31</v>
      </c>
      <c r="B10">
        <v>14</v>
      </c>
      <c r="C10">
        <v>1</v>
      </c>
      <c r="D10">
        <v>2</v>
      </c>
      <c r="E10">
        <f>SUM(A10*B10*C10/144*D10)</f>
        <v>6.027777777777778</v>
      </c>
      <c r="F10">
        <f>INDEX(RATE!B:B,MATCH(A10,RATE!A:A,0))</f>
        <v>52</v>
      </c>
      <c r="G10" s="5">
        <f>SUM(E10*F10)</f>
        <v>313.44444444444446</v>
      </c>
    </row>
    <row r="11" spans="1:7" x14ac:dyDescent="0.25">
      <c r="A11" s="1">
        <v>31</v>
      </c>
      <c r="B11">
        <v>71</v>
      </c>
      <c r="C11">
        <v>0.5</v>
      </c>
      <c r="D11">
        <v>1</v>
      </c>
      <c r="E11">
        <f>SUM(A11*B11*C11/144*D11)</f>
        <v>7.642361111111111</v>
      </c>
      <c r="F11">
        <f>INDEX(RATE!B:B,MATCH(A11,RATE!A:A,0))</f>
        <v>52</v>
      </c>
      <c r="G11" s="5">
        <f>SUM(E11*F11)</f>
        <v>397.40277777777777</v>
      </c>
    </row>
    <row r="12" spans="1:7" x14ac:dyDescent="0.25">
      <c r="A12" s="1">
        <v>71</v>
      </c>
      <c r="B12">
        <v>3</v>
      </c>
      <c r="C12">
        <v>1</v>
      </c>
      <c r="D12">
        <v>4</v>
      </c>
      <c r="E12">
        <f>SUM(A12*B12*C12/144*D12)</f>
        <v>5.916666666666667</v>
      </c>
      <c r="F12">
        <f>INDEX(RATE!B:B,MATCH(A12,RATE!A:A,0))</f>
        <v>62</v>
      </c>
      <c r="G12" s="5">
        <f>SUM(E12*F12)</f>
        <v>366.83333333333337</v>
      </c>
    </row>
    <row r="13" spans="1:7" x14ac:dyDescent="0.25">
      <c r="A13" s="1">
        <v>6</v>
      </c>
      <c r="B13">
        <v>3</v>
      </c>
      <c r="C13">
        <v>3</v>
      </c>
      <c r="D13">
        <v>4</v>
      </c>
      <c r="E13">
        <f>SUM(A13*B13*C13/144*D13)</f>
        <v>1.5</v>
      </c>
      <c r="F13">
        <f>INDEX(RATE!B:B,MATCH(A13,RATE!A:A,0))</f>
        <v>42</v>
      </c>
      <c r="G13" s="5">
        <f>SUM(E13*F13)</f>
        <v>63</v>
      </c>
    </row>
    <row r="14" spans="1:7" x14ac:dyDescent="0.25">
      <c r="A14" s="1">
        <v>31</v>
      </c>
      <c r="B14">
        <v>3</v>
      </c>
      <c r="C14">
        <v>1</v>
      </c>
      <c r="D14">
        <v>2</v>
      </c>
      <c r="E14">
        <f>SUM(A14*B14*C14/144*D14)</f>
        <v>1.2916666666666667</v>
      </c>
      <c r="F14">
        <f>INDEX(RATE!B:B,MATCH(A14,RATE!A:A,0))</f>
        <v>52</v>
      </c>
      <c r="G14" s="5">
        <f>SUM(E14*F14)</f>
        <v>67.16666666666667</v>
      </c>
    </row>
    <row r="15" spans="1:7" x14ac:dyDescent="0.25">
      <c r="A15" s="1" t="s">
        <v>140</v>
      </c>
      <c r="E15">
        <f>SUM(E8:E14)</f>
        <v>39.81597222222222</v>
      </c>
      <c r="G15" s="5">
        <f>SUM(G8:G14)</f>
        <v>2254.597222222222</v>
      </c>
    </row>
    <row r="16" spans="1:7" x14ac:dyDescent="0.25">
      <c r="A16" s="1" t="s">
        <v>141</v>
      </c>
      <c r="E16" s="2">
        <f>+E15*0.2</f>
        <v>7.9631944444444445</v>
      </c>
      <c r="G16" s="5">
        <f>+G15*0.2</f>
        <v>450.9194444444445</v>
      </c>
    </row>
    <row r="17" spans="1:7" x14ac:dyDescent="0.25">
      <c r="A17" s="1" t="s">
        <v>142</v>
      </c>
      <c r="E17" s="5">
        <f>SUM(E15:E16)</f>
        <v>47.77916666666666</v>
      </c>
      <c r="G17" s="5">
        <f>SUM(G15:G16)</f>
        <v>2705.5166666666664</v>
      </c>
    </row>
    <row r="18" spans="1:7" x14ac:dyDescent="0.25">
      <c r="A18" s="1" t="s">
        <v>11</v>
      </c>
      <c r="G18" s="5">
        <f>INDEX('PRODUCT LIST'!L:L,MATCH(F2,'PRODUCT LIST'!C:C,0))</f>
        <v>800</v>
      </c>
    </row>
    <row r="19" spans="1:7" x14ac:dyDescent="0.25">
      <c r="A19" s="1" t="s">
        <v>143</v>
      </c>
      <c r="G19" s="5">
        <f>G17*8%</f>
        <v>216.44133333333332</v>
      </c>
    </row>
    <row r="20" spans="1:7" x14ac:dyDescent="0.25">
      <c r="A20" s="1" t="s">
        <v>139</v>
      </c>
      <c r="G20" s="5">
        <f>SUM(G17:G19)</f>
        <v>3721.9579999999996</v>
      </c>
    </row>
    <row r="21" spans="1:7" x14ac:dyDescent="0.25">
      <c r="A21" s="1" t="s">
        <v>144</v>
      </c>
      <c r="G21" s="5">
        <f>G20*10%</f>
        <v>372.19579999999996</v>
      </c>
    </row>
    <row r="22" spans="1:7" x14ac:dyDescent="0.25">
      <c r="A22" s="1" t="s">
        <v>145</v>
      </c>
      <c r="G22" s="5">
        <f>G21+G20</f>
        <v>4094.1537999999996</v>
      </c>
    </row>
    <row r="23" spans="1:7" x14ac:dyDescent="0.25">
      <c r="A23" s="1" t="s">
        <v>146</v>
      </c>
      <c r="C23">
        <v>0</v>
      </c>
      <c r="D23" t="s">
        <v>147</v>
      </c>
      <c r="F23">
        <v>35</v>
      </c>
      <c r="G23" s="5">
        <f>C23*F23</f>
        <v>0</v>
      </c>
    </row>
    <row r="24" spans="1:7" x14ac:dyDescent="0.25">
      <c r="A24" s="1" t="s">
        <v>148</v>
      </c>
      <c r="C24">
        <v>0</v>
      </c>
      <c r="D24" t="s">
        <v>149</v>
      </c>
      <c r="F24">
        <v>180</v>
      </c>
      <c r="G24" s="5">
        <f>C24*F24</f>
        <v>0</v>
      </c>
    </row>
    <row r="25" spans="1:7" x14ac:dyDescent="0.25">
      <c r="A25" s="1" t="s">
        <v>150</v>
      </c>
      <c r="C25">
        <v>0</v>
      </c>
      <c r="D25" t="s">
        <v>151</v>
      </c>
      <c r="F25">
        <v>150</v>
      </c>
      <c r="G25" s="5">
        <f>C25*F25</f>
        <v>0</v>
      </c>
    </row>
    <row r="26" spans="1:7" x14ac:dyDescent="0.25">
      <c r="A26" s="1" t="s">
        <v>152</v>
      </c>
      <c r="C26">
        <v>0</v>
      </c>
      <c r="D26" t="s">
        <v>153</v>
      </c>
      <c r="F26">
        <v>2</v>
      </c>
      <c r="G26" s="5">
        <f>C26*F26</f>
        <v>0</v>
      </c>
    </row>
    <row r="27" spans="1:7" x14ac:dyDescent="0.25">
      <c r="A27" s="1" t="s">
        <v>154</v>
      </c>
      <c r="D27" t="s">
        <v>155</v>
      </c>
      <c r="E27" s="5">
        <f>E6</f>
        <v>0.629</v>
      </c>
      <c r="F27">
        <f>65/E27</f>
        <v>103.33863275039745</v>
      </c>
      <c r="G27" s="5">
        <f>350000/F27</f>
        <v>3386.923076923077</v>
      </c>
    </row>
    <row r="28" spans="1:9" x14ac:dyDescent="0.25">
      <c r="A28" s="1" t="s">
        <v>139</v>
      </c>
      <c r="G28" s="5">
        <f>SUM(G22:G27)</f>
        <v>7481.076876923076</v>
      </c>
      <c r="H28" s="5">
        <f>+G28/78</f>
        <v>95.91124201183432</v>
      </c>
      <c r="I28" t="s">
        <v>156</v>
      </c>
    </row>
    <row r="29" spans="1:7" x14ac:dyDescent="0.25">
      <c r="A29" s="1" t="s">
        <v>157</v>
      </c>
      <c r="G29" s="5">
        <f>G28*15%</f>
        <v>1122.1615315384613</v>
      </c>
    </row>
    <row r="30" spans="1:7" x14ac:dyDescent="0.25">
      <c r="A30" s="1" t="s">
        <v>158</v>
      </c>
      <c r="G30" s="5">
        <f>G28*15%</f>
        <v>1122.1615315384613</v>
      </c>
    </row>
    <row r="31" spans="1:8" x14ac:dyDescent="0.25">
      <c r="A31" s="1" t="s">
        <v>139</v>
      </c>
      <c r="G31" s="5">
        <f>SUM(G28:G30)</f>
        <v>9725.39994</v>
      </c>
      <c r="H31" s="5">
        <f>+G31/78</f>
        <v>124.6846146153846</v>
      </c>
    </row>
    <row r="32" spans="1:7" x14ac:dyDescent="0.25">
      <c r="A32" s="1" t="s">
        <v>159</v>
      </c>
      <c r="G32" s="5">
        <f>G31*0.2</f>
        <v>1945.079988</v>
      </c>
    </row>
    <row r="33" spans="1:9" x14ac:dyDescent="0.25">
      <c r="A33" s="1" t="s">
        <v>160</v>
      </c>
      <c r="G33" s="4">
        <f>G31+G32</f>
        <v>11670.479927999999</v>
      </c>
      <c r="H33" s="5">
        <f>+G33/78</f>
        <v>149.62153753846152</v>
      </c>
      <c r="I33" t="s">
        <v>156</v>
      </c>
    </row>
    <row r="34" spans="1:9" x14ac:dyDescent="0.25">
      <c r="A34" s="1" t="s">
        <v>161</v>
      </c>
      <c r="G34" s="4">
        <f>G20+G23+G24+G25+G26+G27+G29+G32</f>
        <v>10176.122596461537</v>
      </c>
      <c r="H34" s="5">
        <f>+G34/78</f>
        <v>130.46311021104535</v>
      </c>
      <c r="I34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LIST'!D12</f>
        <v>TV UNIT 2 DOOR 1 DRAWER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LIST'!C12</f>
        <v>DF20011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140X40X55</v>
      </c>
      <c r="C4"/>
      <c r="D4"/>
    </row>
    <row r="5" spans="1:4" x14ac:dyDescent="0.25">
      <c r="A5" s="1" t="s">
        <v>6</v>
      </c>
      <c r="B5" t="str">
        <f>INDEX('PRODUCT LIST'!G:G,MATCH(F2,'PRODUCT LIST'!C:C,0))</f>
        <v>145X45X60</v>
      </c>
      <c r="C5"/>
      <c r="D5"/>
    </row>
    <row r="6" spans="1:7" x14ac:dyDescent="0.25">
      <c r="A6" s="1" t="s">
        <v>7</v>
      </c>
      <c r="B6">
        <v>145</v>
      </c>
      <c r="C6">
        <v>45</v>
      </c>
      <c r="D6">
        <v>60</v>
      </c>
      <c r="E6" s="2">
        <f>B6*C6*D6/1000000</f>
        <v>0.3915</v>
      </c>
      <c r="F6" s="4">
        <f>65/E6</f>
        <v>166.0280970625798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57</v>
      </c>
      <c r="B8">
        <v>17</v>
      </c>
      <c r="C8">
        <v>1</v>
      </c>
      <c r="D8">
        <v>1</v>
      </c>
      <c r="E8">
        <f>SUM(A8*B8*C8/144*D8)</f>
        <v>6.729166666666667</v>
      </c>
      <c r="F8">
        <f>INDEX(RATE!B:B,MATCH(A8,RATE!A:A,0))</f>
        <v>62</v>
      </c>
      <c r="G8" s="5">
        <f>SUM(E8*F8)</f>
        <v>417.20833333333337</v>
      </c>
    </row>
    <row r="9" spans="1:7" x14ac:dyDescent="0.25">
      <c r="A9" s="1">
        <v>23</v>
      </c>
      <c r="B9">
        <v>16</v>
      </c>
      <c r="C9">
        <v>1</v>
      </c>
      <c r="D9">
        <v>2</v>
      </c>
      <c r="E9">
        <f>SUM(A9*B9*C9/144*D9)</f>
        <v>5.111111111111111</v>
      </c>
      <c r="F9">
        <f>INDEX(RATE!B:B,MATCH(A9,RATE!A:A,0))</f>
        <v>42</v>
      </c>
      <c r="G9" s="5">
        <f>SUM(E9*F9)</f>
        <v>214.66666666666666</v>
      </c>
    </row>
    <row r="10" spans="1:7" x14ac:dyDescent="0.25">
      <c r="A10" s="1">
        <v>55</v>
      </c>
      <c r="B10">
        <v>16</v>
      </c>
      <c r="C10">
        <v>1</v>
      </c>
      <c r="D10">
        <v>2</v>
      </c>
      <c r="E10">
        <f>SUM(A10*B10*C10/144*D10)</f>
        <v>12.222222222222221</v>
      </c>
      <c r="F10">
        <f>INDEX(RATE!B:B,MATCH(A10,RATE!A:A,0))</f>
        <v>62</v>
      </c>
      <c r="G10" s="5">
        <f>SUM(E10*F10)</f>
        <v>757.7777777777777</v>
      </c>
    </row>
    <row r="11" spans="1:7" x14ac:dyDescent="0.25">
      <c r="A11" s="1">
        <v>55</v>
      </c>
      <c r="B11">
        <v>22</v>
      </c>
      <c r="C11">
        <v>0.5</v>
      </c>
      <c r="D11">
        <v>1</v>
      </c>
      <c r="E11">
        <f>SUM(A11*B11*C11/144*D11)</f>
        <v>4.201388888888889</v>
      </c>
      <c r="F11">
        <f>INDEX(RATE!B:B,MATCH(A11,RATE!A:A,0))</f>
        <v>62</v>
      </c>
      <c r="G11" s="5">
        <f>SUM(E11*F11)</f>
        <v>260.48611111111114</v>
      </c>
    </row>
    <row r="12" spans="1:7" x14ac:dyDescent="0.25">
      <c r="A12" s="1">
        <v>22</v>
      </c>
      <c r="B12">
        <v>3</v>
      </c>
      <c r="C12">
        <v>1</v>
      </c>
      <c r="D12">
        <v>4</v>
      </c>
      <c r="E12">
        <f>SUM(A12*B12*C12/144*D12)</f>
        <v>1.8333333333333333</v>
      </c>
      <c r="F12">
        <f>INDEX(RATE!B:B,MATCH(A12,RATE!A:A,0))</f>
        <v>42</v>
      </c>
      <c r="G12" s="5">
        <f>SUM(E12*F12)</f>
        <v>77</v>
      </c>
    </row>
    <row r="13" spans="1:7" x14ac:dyDescent="0.25">
      <c r="A13" s="1">
        <v>6</v>
      </c>
      <c r="B13">
        <v>3</v>
      </c>
      <c r="C13">
        <v>3</v>
      </c>
      <c r="D13">
        <v>4</v>
      </c>
      <c r="E13">
        <f>SUM(A13*B13*C13/144*D13)</f>
        <v>1.5</v>
      </c>
      <c r="F13">
        <f>INDEX(RATE!B:B,MATCH(A13,RATE!A:A,0))</f>
        <v>42</v>
      </c>
      <c r="G13" s="5">
        <f>SUM(E13*F13)</f>
        <v>63</v>
      </c>
    </row>
    <row r="14" spans="1:7" x14ac:dyDescent="0.25">
      <c r="A14" s="1">
        <v>55</v>
      </c>
      <c r="B14">
        <v>3</v>
      </c>
      <c r="C14">
        <v>1</v>
      </c>
      <c r="D14">
        <v>2</v>
      </c>
      <c r="E14">
        <f>SUM(A14*B14*C14/144*D14)</f>
        <v>2.2916666666666665</v>
      </c>
      <c r="F14">
        <f>INDEX(RATE!B:B,MATCH(A14,RATE!A:A,0))</f>
        <v>62</v>
      </c>
      <c r="G14" s="5">
        <f>SUM(E14*F14)</f>
        <v>142.08333333333331</v>
      </c>
    </row>
    <row r="15" spans="1:7" x14ac:dyDescent="0.25">
      <c r="A15" s="1" t="s">
        <v>140</v>
      </c>
      <c r="E15">
        <f>SUM(E8:E14)</f>
        <v>33.888888888888886</v>
      </c>
      <c r="G15" s="5">
        <f>SUM(G8:G14)</f>
        <v>1932.2222222222222</v>
      </c>
    </row>
    <row r="16" spans="1:7" x14ac:dyDescent="0.25">
      <c r="A16" s="1" t="s">
        <v>141</v>
      </c>
      <c r="E16" s="2">
        <f>+E15*0.2</f>
        <v>6.777777777777778</v>
      </c>
      <c r="G16" s="5">
        <f>+G15*0.2</f>
        <v>386.44444444444446</v>
      </c>
    </row>
    <row r="17" spans="1:7" x14ac:dyDescent="0.25">
      <c r="A17" s="1" t="s">
        <v>142</v>
      </c>
      <c r="E17" s="5">
        <f>SUM(E15:E16)</f>
        <v>40.666666666666664</v>
      </c>
      <c r="G17" s="5">
        <f>SUM(G15:G16)</f>
        <v>2318.6666666666665</v>
      </c>
    </row>
    <row r="18" spans="1:7" x14ac:dyDescent="0.25">
      <c r="A18" s="1" t="s">
        <v>11</v>
      </c>
      <c r="G18" s="5">
        <f>INDEX('PRODUCT LIST'!L:L,MATCH(F2,'PRODUCT LIST'!C:C,0))</f>
        <v>750</v>
      </c>
    </row>
    <row r="19" spans="1:7" x14ac:dyDescent="0.25">
      <c r="A19" s="1" t="s">
        <v>143</v>
      </c>
      <c r="G19" s="5">
        <f>G17*8%</f>
        <v>185.4933333333333</v>
      </c>
    </row>
    <row r="20" spans="1:7" x14ac:dyDescent="0.25">
      <c r="A20" s="1" t="s">
        <v>139</v>
      </c>
      <c r="G20" s="5">
        <f>SUM(G17:G19)</f>
        <v>3254.16</v>
      </c>
    </row>
    <row r="21" spans="1:7" x14ac:dyDescent="0.25">
      <c r="A21" s="1" t="s">
        <v>144</v>
      </c>
      <c r="G21" s="5">
        <f>G20*10%</f>
        <v>325.416</v>
      </c>
    </row>
    <row r="22" spans="1:7" x14ac:dyDescent="0.25">
      <c r="A22" s="1" t="s">
        <v>145</v>
      </c>
      <c r="G22" s="5">
        <f>G21+G20</f>
        <v>3579.576</v>
      </c>
    </row>
    <row r="23" spans="1:7" x14ac:dyDescent="0.25">
      <c r="A23" s="1" t="s">
        <v>146</v>
      </c>
      <c r="C23">
        <v>3</v>
      </c>
      <c r="D23" t="s">
        <v>147</v>
      </c>
      <c r="F23">
        <v>35</v>
      </c>
      <c r="G23" s="5">
        <f>C23*F23</f>
        <v>105</v>
      </c>
    </row>
    <row r="24" spans="1:7" x14ac:dyDescent="0.25">
      <c r="A24" s="1" t="s">
        <v>148</v>
      </c>
      <c r="C24">
        <v>0</v>
      </c>
      <c r="D24" t="s">
        <v>149</v>
      </c>
      <c r="F24">
        <v>180</v>
      </c>
      <c r="G24" s="5">
        <f>C24*F24</f>
        <v>0</v>
      </c>
    </row>
    <row r="25" spans="1:7" x14ac:dyDescent="0.25">
      <c r="A25" s="1" t="s">
        <v>150</v>
      </c>
      <c r="C25">
        <v>0</v>
      </c>
      <c r="D25" t="s">
        <v>151</v>
      </c>
      <c r="F25">
        <v>150</v>
      </c>
      <c r="G25" s="5">
        <f>C25*F25</f>
        <v>0</v>
      </c>
    </row>
    <row r="26" spans="1:7" x14ac:dyDescent="0.25">
      <c r="A26" s="1" t="s">
        <v>152</v>
      </c>
      <c r="C26">
        <v>0</v>
      </c>
      <c r="D26" t="s">
        <v>153</v>
      </c>
      <c r="F26">
        <v>2</v>
      </c>
      <c r="G26" s="5">
        <f>C26*F26</f>
        <v>0</v>
      </c>
    </row>
    <row r="27" spans="1:7" x14ac:dyDescent="0.25">
      <c r="A27" s="1" t="s">
        <v>154</v>
      </c>
      <c r="D27" t="s">
        <v>155</v>
      </c>
      <c r="E27" s="5">
        <f>E6</f>
        <v>0.3915</v>
      </c>
      <c r="F27">
        <f>65/E27</f>
        <v>166.0280970625798</v>
      </c>
      <c r="G27" s="5">
        <f>350000/F27</f>
        <v>2108.0769230769233</v>
      </c>
    </row>
    <row r="28" spans="1:9" x14ac:dyDescent="0.25">
      <c r="A28" s="1" t="s">
        <v>139</v>
      </c>
      <c r="G28" s="5">
        <f>SUM(G22:G27)</f>
        <v>5792.652923076923</v>
      </c>
      <c r="H28" s="5">
        <f>+G28/78</f>
        <v>74.26478106508875</v>
      </c>
      <c r="I28" t="s">
        <v>156</v>
      </c>
    </row>
    <row r="29" spans="1:7" x14ac:dyDescent="0.25">
      <c r="A29" s="1" t="s">
        <v>157</v>
      </c>
      <c r="G29" s="5">
        <f>G28*15%</f>
        <v>868.8979384615384</v>
      </c>
    </row>
    <row r="30" spans="1:7" x14ac:dyDescent="0.25">
      <c r="A30" s="1" t="s">
        <v>158</v>
      </c>
      <c r="G30" s="5">
        <f>G28*15%</f>
        <v>868.8979384615384</v>
      </c>
    </row>
    <row r="31" spans="1:8" x14ac:dyDescent="0.25">
      <c r="A31" s="1" t="s">
        <v>139</v>
      </c>
      <c r="G31" s="5">
        <f>SUM(G28:G30)</f>
        <v>7530.4488</v>
      </c>
      <c r="H31" s="5">
        <f>+G31/78</f>
        <v>96.54421538461538</v>
      </c>
    </row>
    <row r="32" spans="1:7" x14ac:dyDescent="0.25">
      <c r="A32" s="1" t="s">
        <v>159</v>
      </c>
      <c r="G32" s="5">
        <f>G31*0.2</f>
        <v>1506.08976</v>
      </c>
    </row>
    <row r="33" spans="1:9" x14ac:dyDescent="0.25">
      <c r="A33" s="1" t="s">
        <v>160</v>
      </c>
      <c r="G33" s="4">
        <f>G31+G32</f>
        <v>9036.53856</v>
      </c>
      <c r="H33" s="5">
        <f>+G33/78</f>
        <v>115.85305846153847</v>
      </c>
      <c r="I33" t="s">
        <v>156</v>
      </c>
    </row>
    <row r="34" spans="1:9" x14ac:dyDescent="0.25">
      <c r="A34" s="1" t="s">
        <v>161</v>
      </c>
      <c r="G34" s="4">
        <f>G20+G23+G24+G25+G26+G27+G29+G32</f>
        <v>7842.224621538462</v>
      </c>
      <c r="H34" s="5">
        <f>+G34/78</f>
        <v>100.54134130177515</v>
      </c>
      <c r="I34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LIST'!D13</f>
        <v>NEST OF 2 SIDE TABLES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LIST'!C13</f>
        <v>DF20012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50X50X55</v>
      </c>
      <c r="C4"/>
      <c r="D4"/>
    </row>
    <row r="5" spans="1:4" x14ac:dyDescent="0.25">
      <c r="A5" s="1" t="s">
        <v>6</v>
      </c>
      <c r="B5" t="str">
        <f>INDEX('PRODUCT LIST'!G:G,MATCH(F2,'PRODUCT LIST'!C:C,0))</f>
        <v>55X55X60</v>
      </c>
      <c r="C5"/>
      <c r="D5"/>
    </row>
    <row r="6" spans="1:7" x14ac:dyDescent="0.25">
      <c r="A6" s="1" t="s">
        <v>7</v>
      </c>
      <c r="B6">
        <v>55</v>
      </c>
      <c r="C6">
        <v>55</v>
      </c>
      <c r="D6">
        <v>60</v>
      </c>
      <c r="E6" s="2">
        <f>B6*C6*D6/1000000</f>
        <v>0.1815</v>
      </c>
      <c r="F6" s="4">
        <f>65/E6</f>
        <v>358.1267217630854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22</v>
      </c>
      <c r="B8">
        <v>22</v>
      </c>
      <c r="C8">
        <v>1</v>
      </c>
      <c r="D8">
        <v>1</v>
      </c>
      <c r="E8">
        <f>SUM(A8*B8*C8/144*D8)</f>
        <v>3.361111111111111</v>
      </c>
      <c r="F8">
        <f>INDEX(RATE!B:B,MATCH(A8,RATE!A:A,0))</f>
        <v>42</v>
      </c>
      <c r="G8" s="5">
        <f>SUM(E8*F8)</f>
        <v>141.16666666666666</v>
      </c>
    </row>
    <row r="9" spans="1:7" x14ac:dyDescent="0.25">
      <c r="A9" s="1">
        <v>22</v>
      </c>
      <c r="B9">
        <v>3</v>
      </c>
      <c r="C9">
        <v>3</v>
      </c>
      <c r="D9">
        <v>4</v>
      </c>
      <c r="E9">
        <f>SUM(A9*B9*C9/144*D9)</f>
        <v>5.5</v>
      </c>
      <c r="F9">
        <f>INDEX(RATE!B:B,MATCH(A9,RATE!A:A,0))</f>
        <v>42</v>
      </c>
      <c r="G9" s="5">
        <f>SUM(E9*F9)</f>
        <v>231</v>
      </c>
    </row>
    <row r="10" spans="1:7" x14ac:dyDescent="0.25">
      <c r="A10" s="1">
        <v>20</v>
      </c>
      <c r="B10">
        <v>4</v>
      </c>
      <c r="C10">
        <v>1</v>
      </c>
      <c r="D10">
        <v>2</v>
      </c>
      <c r="E10">
        <f>SUM(A10*B10*C10/144*D10)</f>
        <v>1.1111111111111112</v>
      </c>
      <c r="F10">
        <f>INDEX(RATE!B:B,MATCH(A10,RATE!A:A,0))</f>
        <v>42</v>
      </c>
      <c r="G10" s="5">
        <f>SUM(E10*F10)</f>
        <v>46.66666666666667</v>
      </c>
    </row>
    <row r="11" spans="1:7" x14ac:dyDescent="0.25">
      <c r="A11" s="1">
        <v>20</v>
      </c>
      <c r="B11">
        <v>4</v>
      </c>
      <c r="C11">
        <v>1</v>
      </c>
      <c r="D11">
        <v>2</v>
      </c>
      <c r="E11">
        <f>SUM(A11*B11*C11/144*D11)</f>
        <v>1.1111111111111112</v>
      </c>
      <c r="F11">
        <f>INDEX(RATE!B:B,MATCH(A11,RATE!A:A,0))</f>
        <v>42</v>
      </c>
      <c r="G11" s="5">
        <f>SUM(E11*F11)</f>
        <v>46.66666666666667</v>
      </c>
    </row>
    <row r="12" spans="1:7" x14ac:dyDescent="0.25">
      <c r="A12" s="1" t="s">
        <v>140</v>
      </c>
      <c r="E12">
        <f>SUM(E8:E11)</f>
        <v>11.083333333333332</v>
      </c>
      <c r="G12" s="5">
        <f>SUM(G8:G11)</f>
        <v>465.5</v>
      </c>
    </row>
    <row r="13" spans="1:7" x14ac:dyDescent="0.25">
      <c r="A13" s="1" t="s">
        <v>141</v>
      </c>
      <c r="E13" s="2">
        <f>+E12*0.2</f>
        <v>2.2166666666666663</v>
      </c>
      <c r="G13" s="5">
        <f>+G12*0.2</f>
        <v>93.10000000000001</v>
      </c>
    </row>
    <row r="14" spans="1:7" x14ac:dyDescent="0.25">
      <c r="A14" s="1" t="s">
        <v>142</v>
      </c>
      <c r="E14" s="5">
        <f>SUM(E12:E13)</f>
        <v>13.299999999999999</v>
      </c>
      <c r="G14" s="5">
        <f>SUM(G12:G13)</f>
        <v>558.6</v>
      </c>
    </row>
    <row r="15" spans="1:7" x14ac:dyDescent="0.25">
      <c r="A15" s="1" t="s">
        <v>11</v>
      </c>
      <c r="G15" s="5">
        <f>INDEX('PRODUCT LIST'!L:L,MATCH(F2,'PRODUCT LIST'!C:C,0))</f>
        <v>400</v>
      </c>
    </row>
    <row r="16" spans="1:7" x14ac:dyDescent="0.25">
      <c r="A16" s="1" t="s">
        <v>143</v>
      </c>
      <c r="G16" s="5">
        <f>G14*8%</f>
        <v>44.688</v>
      </c>
    </row>
    <row r="17" spans="1:7" x14ac:dyDescent="0.25">
      <c r="A17" s="1" t="s">
        <v>139</v>
      </c>
      <c r="G17" s="5">
        <f>SUM(G14:G16)</f>
        <v>1003.288</v>
      </c>
    </row>
    <row r="18" spans="1:7" x14ac:dyDescent="0.25">
      <c r="A18" s="1" t="s">
        <v>144</v>
      </c>
      <c r="G18" s="5">
        <f>G17*10%</f>
        <v>100.3288</v>
      </c>
    </row>
    <row r="19" spans="1:7" x14ac:dyDescent="0.25">
      <c r="A19" s="1" t="s">
        <v>145</v>
      </c>
      <c r="G19" s="5">
        <f>G18+G17</f>
        <v>1103.6168</v>
      </c>
    </row>
    <row r="20" spans="1:7" x14ac:dyDescent="0.25">
      <c r="A20" s="1" t="s">
        <v>146</v>
      </c>
      <c r="C20">
        <v>0</v>
      </c>
      <c r="D20" t="s">
        <v>147</v>
      </c>
      <c r="F20">
        <v>35</v>
      </c>
      <c r="G20" s="5">
        <f>C20*F20</f>
        <v>0</v>
      </c>
    </row>
    <row r="21" spans="1:7" x14ac:dyDescent="0.25">
      <c r="A21" s="1" t="s">
        <v>148</v>
      </c>
      <c r="C21">
        <v>0</v>
      </c>
      <c r="D21" t="s">
        <v>149</v>
      </c>
      <c r="F21">
        <v>180</v>
      </c>
      <c r="G21" s="5">
        <f>C21*F21</f>
        <v>0</v>
      </c>
    </row>
    <row r="22" spans="1:7" x14ac:dyDescent="0.25">
      <c r="A22" s="1" t="s">
        <v>150</v>
      </c>
      <c r="C22">
        <v>0</v>
      </c>
      <c r="D22" t="s">
        <v>151</v>
      </c>
      <c r="F22">
        <v>150</v>
      </c>
      <c r="G22" s="5">
        <f>C22*F22</f>
        <v>0</v>
      </c>
    </row>
    <row r="23" spans="1:7" x14ac:dyDescent="0.25">
      <c r="A23" s="1" t="s">
        <v>152</v>
      </c>
      <c r="C23">
        <v>0</v>
      </c>
      <c r="D23" t="s">
        <v>153</v>
      </c>
      <c r="F23">
        <v>2</v>
      </c>
      <c r="G23" s="5">
        <f>C23*F23</f>
        <v>0</v>
      </c>
    </row>
    <row r="24" spans="1:7" x14ac:dyDescent="0.25">
      <c r="A24" s="1" t="s">
        <v>154</v>
      </c>
      <c r="D24" t="s">
        <v>155</v>
      </c>
      <c r="E24" s="5">
        <f>E6</f>
        <v>0.1815</v>
      </c>
      <c r="F24">
        <f>65/E24</f>
        <v>358.1267217630854</v>
      </c>
      <c r="G24" s="5">
        <f>350000/F24</f>
        <v>977.3076923076923</v>
      </c>
    </row>
    <row r="25" spans="1:9" x14ac:dyDescent="0.25">
      <c r="A25" s="1" t="s">
        <v>139</v>
      </c>
      <c r="G25" s="5">
        <f>SUM(G19:G24)</f>
        <v>2080.924492307692</v>
      </c>
      <c r="H25" s="5">
        <f>+G25/78</f>
        <v>26.678519132149898</v>
      </c>
      <c r="I25" t="s">
        <v>156</v>
      </c>
    </row>
    <row r="26" spans="1:7" x14ac:dyDescent="0.25">
      <c r="A26" s="1" t="s">
        <v>157</v>
      </c>
      <c r="G26" s="5">
        <f>G25*15%</f>
        <v>312.13867384615384</v>
      </c>
    </row>
    <row r="27" spans="1:7" x14ac:dyDescent="0.25">
      <c r="A27" s="1" t="s">
        <v>158</v>
      </c>
      <c r="G27" s="5">
        <f>G25*15%</f>
        <v>312.13867384615384</v>
      </c>
    </row>
    <row r="28" spans="1:8" x14ac:dyDescent="0.25">
      <c r="A28" s="1" t="s">
        <v>139</v>
      </c>
      <c r="G28" s="5">
        <f>SUM(G25:G27)</f>
        <v>2705.2018399999997</v>
      </c>
      <c r="H28" s="5">
        <f>+G28/78</f>
        <v>34.68207487179487</v>
      </c>
    </row>
    <row r="29" spans="1:7" x14ac:dyDescent="0.25">
      <c r="A29" s="1" t="s">
        <v>159</v>
      </c>
      <c r="G29" s="5">
        <f>G28*0.2</f>
        <v>541.040368</v>
      </c>
    </row>
    <row r="30" spans="1:9" x14ac:dyDescent="0.25">
      <c r="A30" s="1" t="s">
        <v>160</v>
      </c>
      <c r="G30" s="4">
        <f>G28+G29</f>
        <v>3246.2422079999997</v>
      </c>
      <c r="H30" s="5">
        <f>+G30/78</f>
        <v>41.61848984615384</v>
      </c>
      <c r="I30" t="s">
        <v>156</v>
      </c>
    </row>
    <row r="31" spans="1:9" x14ac:dyDescent="0.25">
      <c r="A31" s="1" t="s">
        <v>161</v>
      </c>
      <c r="G31" s="4">
        <f>G17+G20+G21+G22+G23+G24+G26+G29</f>
        <v>2833.774734153846</v>
      </c>
      <c r="H31" s="5">
        <f>+G31/78</f>
        <v>36.3304453096647</v>
      </c>
      <c r="I31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LIST'!D14</f>
        <v>BAR CABINET WITH IRON FRAME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LIST'!C14</f>
        <v>DF20013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90X45X110</v>
      </c>
      <c r="C4"/>
      <c r="D4"/>
    </row>
    <row r="5" spans="1:4" x14ac:dyDescent="0.25">
      <c r="A5" s="1" t="s">
        <v>6</v>
      </c>
      <c r="B5" t="str">
        <f>INDEX('PRODUCT LIST'!G:G,MATCH(F2,'PRODUCT LIST'!C:C,0))</f>
        <v>95X50X115</v>
      </c>
      <c r="C5"/>
      <c r="D5"/>
    </row>
    <row r="6" spans="1:7" x14ac:dyDescent="0.25">
      <c r="A6" s="1" t="s">
        <v>7</v>
      </c>
      <c r="B6">
        <v>95</v>
      </c>
      <c r="C6">
        <v>50</v>
      </c>
      <c r="D6">
        <v>115</v>
      </c>
      <c r="E6" s="2">
        <f>B6*C6*D6/1000000</f>
        <v>0.54625</v>
      </c>
      <c r="F6" s="4">
        <f>65/E6</f>
        <v>118.99313501144165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37</v>
      </c>
      <c r="B8">
        <v>19</v>
      </c>
      <c r="C8">
        <v>1</v>
      </c>
      <c r="D8">
        <v>1</v>
      </c>
      <c r="E8">
        <f>SUM(A8*B8*C8/144*D8)</f>
        <v>4.881944444444445</v>
      </c>
      <c r="F8">
        <f>INDEX(RATE!B:B,MATCH(A8,RATE!A:A,0))</f>
        <v>52</v>
      </c>
      <c r="G8" s="5">
        <f>SUM(E8*F8)</f>
        <v>253.86111111111111</v>
      </c>
    </row>
    <row r="9" spans="1:7" x14ac:dyDescent="0.25">
      <c r="A9" s="1">
        <v>44</v>
      </c>
      <c r="B9">
        <v>18</v>
      </c>
      <c r="C9">
        <v>1</v>
      </c>
      <c r="D9">
        <v>2</v>
      </c>
      <c r="E9">
        <f>SUM(A9*B9*C9/144*D9)</f>
        <v>11</v>
      </c>
      <c r="F9">
        <f>INDEX(RATE!B:B,MATCH(A9,RATE!A:A,0))</f>
        <v>52</v>
      </c>
      <c r="G9" s="5">
        <f>SUM(E9*F9)</f>
        <v>572</v>
      </c>
    </row>
    <row r="10" spans="1:7" x14ac:dyDescent="0.25">
      <c r="A10" s="1">
        <v>35</v>
      </c>
      <c r="B10">
        <v>18</v>
      </c>
      <c r="C10">
        <v>1</v>
      </c>
      <c r="D10">
        <v>2</v>
      </c>
      <c r="E10">
        <f>SUM(A10*B10*C10/144*D10)</f>
        <v>8.75</v>
      </c>
      <c r="F10">
        <f>INDEX(RATE!B:B,MATCH(A10,RATE!A:A,0))</f>
        <v>52</v>
      </c>
      <c r="G10" s="5">
        <f>SUM(E10*F10)</f>
        <v>455</v>
      </c>
    </row>
    <row r="11" spans="1:7" x14ac:dyDescent="0.25">
      <c r="A11" s="1">
        <v>35</v>
      </c>
      <c r="B11">
        <v>43</v>
      </c>
      <c r="C11">
        <v>0.5</v>
      </c>
      <c r="D11">
        <v>1</v>
      </c>
      <c r="E11">
        <f>SUM(A11*B11*C11/144*D11)</f>
        <v>5.225694444444445</v>
      </c>
      <c r="F11">
        <f>INDEX(RATE!B:B,MATCH(A11,RATE!A:A,0))</f>
        <v>52</v>
      </c>
      <c r="G11" s="5">
        <f>SUM(E11*F11)</f>
        <v>271.73611111111114</v>
      </c>
    </row>
    <row r="12" spans="1:7" x14ac:dyDescent="0.25">
      <c r="A12" s="1">
        <v>43</v>
      </c>
      <c r="B12">
        <v>3</v>
      </c>
      <c r="C12">
        <v>1</v>
      </c>
      <c r="D12">
        <v>4</v>
      </c>
      <c r="E12">
        <f>SUM(A12*B12*C12/144*D12)</f>
        <v>3.5833333333333335</v>
      </c>
      <c r="F12">
        <f>INDEX(RATE!B:B,MATCH(A12,RATE!A:A,0))</f>
        <v>52</v>
      </c>
      <c r="G12" s="5">
        <f>SUM(E12*F12)</f>
        <v>186.33333333333334</v>
      </c>
    </row>
    <row r="13" spans="1:7" x14ac:dyDescent="0.25">
      <c r="A13" s="1">
        <v>6</v>
      </c>
      <c r="B13">
        <v>3</v>
      </c>
      <c r="C13">
        <v>3</v>
      </c>
      <c r="D13">
        <v>4</v>
      </c>
      <c r="E13">
        <f>SUM(A13*B13*C13/144*D13)</f>
        <v>1.5</v>
      </c>
      <c r="F13">
        <f>INDEX(RATE!B:B,MATCH(A13,RATE!A:A,0))</f>
        <v>42</v>
      </c>
      <c r="G13" s="5">
        <f>SUM(E13*F13)</f>
        <v>63</v>
      </c>
    </row>
    <row r="14" spans="1:7" x14ac:dyDescent="0.25">
      <c r="A14" s="1">
        <v>35</v>
      </c>
      <c r="B14">
        <v>3</v>
      </c>
      <c r="C14">
        <v>1</v>
      </c>
      <c r="D14">
        <v>2</v>
      </c>
      <c r="E14">
        <f>SUM(A14*B14*C14/144*D14)</f>
        <v>1.4583333333333333</v>
      </c>
      <c r="F14">
        <f>INDEX(RATE!B:B,MATCH(A14,RATE!A:A,0))</f>
        <v>52</v>
      </c>
      <c r="G14" s="5">
        <f>SUM(E14*F14)</f>
        <v>75.83333333333333</v>
      </c>
    </row>
    <row r="15" spans="1:7" x14ac:dyDescent="0.25">
      <c r="A15" s="1" t="s">
        <v>140</v>
      </c>
      <c r="E15">
        <f>SUM(E8:E14)</f>
        <v>36.39930555555556</v>
      </c>
      <c r="G15" s="5">
        <f>SUM(G8:G14)</f>
        <v>1877.7638888888887</v>
      </c>
    </row>
    <row r="16" spans="1:7" x14ac:dyDescent="0.25">
      <c r="A16" s="1" t="s">
        <v>141</v>
      </c>
      <c r="E16" s="2">
        <f>+E15*0.2</f>
        <v>7.279861111111112</v>
      </c>
      <c r="G16" s="5">
        <f>+G15*0.2</f>
        <v>375.55277777777775</v>
      </c>
    </row>
    <row r="17" spans="1:7" x14ac:dyDescent="0.25">
      <c r="A17" s="1" t="s">
        <v>142</v>
      </c>
      <c r="E17" s="5">
        <f>SUM(E15:E16)</f>
        <v>43.67916666666667</v>
      </c>
      <c r="G17" s="5">
        <f>SUM(G15:G16)</f>
        <v>2253.3166666666666</v>
      </c>
    </row>
    <row r="18" spans="1:7" x14ac:dyDescent="0.25">
      <c r="A18" s="1" t="s">
        <v>11</v>
      </c>
      <c r="G18" s="5">
        <f>INDEX('PRODUCT LIST'!L:L,MATCH(F2,'PRODUCT LIST'!C:C,0))</f>
        <v>1050</v>
      </c>
    </row>
    <row r="19" spans="1:7" x14ac:dyDescent="0.25">
      <c r="A19" s="1" t="s">
        <v>143</v>
      </c>
      <c r="G19" s="5">
        <f>G17*8%</f>
        <v>180.26533333333333</v>
      </c>
    </row>
    <row r="20" spans="1:7" x14ac:dyDescent="0.25">
      <c r="A20" s="1" t="s">
        <v>139</v>
      </c>
      <c r="G20" s="5">
        <f>SUM(G17:G19)</f>
        <v>3483.582</v>
      </c>
    </row>
    <row r="21" spans="1:7" x14ac:dyDescent="0.25">
      <c r="A21" s="1" t="s">
        <v>144</v>
      </c>
      <c r="G21" s="5">
        <f>G20*10%</f>
        <v>348.3582</v>
      </c>
    </row>
    <row r="22" spans="1:7" x14ac:dyDescent="0.25">
      <c r="A22" s="1" t="s">
        <v>145</v>
      </c>
      <c r="G22" s="5">
        <f>G21+G20</f>
        <v>3831.9402</v>
      </c>
    </row>
    <row r="23" spans="1:7" x14ac:dyDescent="0.25">
      <c r="A23" s="1" t="s">
        <v>146</v>
      </c>
      <c r="C23">
        <v>2</v>
      </c>
      <c r="D23" t="s">
        <v>147</v>
      </c>
      <c r="F23">
        <v>35</v>
      </c>
      <c r="G23" s="5">
        <f>C23*F23</f>
        <v>70</v>
      </c>
    </row>
    <row r="24" spans="1:7" x14ac:dyDescent="0.25">
      <c r="A24" s="1" t="s">
        <v>148</v>
      </c>
      <c r="C24">
        <v>0</v>
      </c>
      <c r="D24" t="s">
        <v>149</v>
      </c>
      <c r="F24">
        <v>180</v>
      </c>
      <c r="G24" s="5">
        <f>C24*F24</f>
        <v>0</v>
      </c>
    </row>
    <row r="25" spans="1:7" x14ac:dyDescent="0.25">
      <c r="A25" s="1" t="s">
        <v>150</v>
      </c>
      <c r="C25">
        <v>6</v>
      </c>
      <c r="D25" t="s">
        <v>151</v>
      </c>
      <c r="F25">
        <v>150</v>
      </c>
      <c r="G25" s="5">
        <f>C25*F25</f>
        <v>900</v>
      </c>
    </row>
    <row r="26" spans="1:7" x14ac:dyDescent="0.25">
      <c r="A26" s="1" t="s">
        <v>152</v>
      </c>
      <c r="C26">
        <v>0</v>
      </c>
      <c r="D26" t="s">
        <v>153</v>
      </c>
      <c r="F26">
        <v>2</v>
      </c>
      <c r="G26" s="5">
        <f>C26*F26</f>
        <v>0</v>
      </c>
    </row>
    <row r="27" spans="1:7" x14ac:dyDescent="0.25">
      <c r="A27" s="1" t="s">
        <v>154</v>
      </c>
      <c r="D27" t="s">
        <v>155</v>
      </c>
      <c r="E27" s="5">
        <f>E6</f>
        <v>0.54625</v>
      </c>
      <c r="F27">
        <f>65/E27</f>
        <v>118.99313501144165</v>
      </c>
      <c r="G27" s="5">
        <f>350000/F27</f>
        <v>2941.346153846154</v>
      </c>
    </row>
    <row r="28" spans="1:9" x14ac:dyDescent="0.25">
      <c r="A28" s="1" t="s">
        <v>139</v>
      </c>
      <c r="G28" s="5">
        <f>SUM(G22:G27)</f>
        <v>7743.286353846153</v>
      </c>
      <c r="H28" s="5">
        <f>+G28/78</f>
        <v>99.27290197238658</v>
      </c>
      <c r="I28" t="s">
        <v>156</v>
      </c>
    </row>
    <row r="29" spans="1:7" x14ac:dyDescent="0.25">
      <c r="A29" s="1" t="s">
        <v>157</v>
      </c>
      <c r="G29" s="5">
        <f>G28*15%</f>
        <v>1161.492953076923</v>
      </c>
    </row>
    <row r="30" spans="1:7" x14ac:dyDescent="0.25">
      <c r="A30" s="1" t="s">
        <v>158</v>
      </c>
      <c r="G30" s="5">
        <f>G28*15%</f>
        <v>1161.492953076923</v>
      </c>
    </row>
    <row r="31" spans="1:8" x14ac:dyDescent="0.25">
      <c r="A31" s="1" t="s">
        <v>139</v>
      </c>
      <c r="G31" s="5">
        <f>SUM(G28:G30)</f>
        <v>10066.27226</v>
      </c>
      <c r="H31" s="5">
        <f>+G31/78</f>
        <v>129.05477256410256</v>
      </c>
    </row>
    <row r="32" spans="1:7" x14ac:dyDescent="0.25">
      <c r="A32" s="1" t="s">
        <v>159</v>
      </c>
      <c r="G32" s="5">
        <f>G31*0.2</f>
        <v>2013.2544520000001</v>
      </c>
    </row>
    <row r="33" spans="1:9" x14ac:dyDescent="0.25">
      <c r="A33" s="1" t="s">
        <v>160</v>
      </c>
      <c r="G33" s="4">
        <f>G31+G32</f>
        <v>12079.526711999999</v>
      </c>
      <c r="H33" s="5">
        <f>+G33/78</f>
        <v>154.86572707692306</v>
      </c>
      <c r="I33" t="s">
        <v>156</v>
      </c>
    </row>
    <row r="34" spans="1:9" x14ac:dyDescent="0.25">
      <c r="A34" s="1" t="s">
        <v>161</v>
      </c>
      <c r="G34" s="4">
        <f>G20+G23+G24+G25+G26+G27+G29+G32</f>
        <v>10569.675558923078</v>
      </c>
      <c r="H34" s="5">
        <f>+G34/78</f>
        <v>135.50866101183433</v>
      </c>
      <c r="I34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LIST'!D15</f>
        <v>CANE DOOR CABINET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LIST'!C15</f>
        <v>DF20014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80X40X120</v>
      </c>
      <c r="C4"/>
      <c r="D4"/>
    </row>
    <row r="5" spans="1:4" x14ac:dyDescent="0.25">
      <c r="A5" s="1" t="s">
        <v>6</v>
      </c>
      <c r="B5" t="str">
        <f>INDEX('PRODUCT LIST'!G:G,MATCH(F2,'PRODUCT LIST'!C:C,0))</f>
        <v>85X45X125</v>
      </c>
      <c r="C5"/>
      <c r="D5"/>
    </row>
    <row r="6" spans="1:7" x14ac:dyDescent="0.25">
      <c r="A6" s="1" t="s">
        <v>7</v>
      </c>
      <c r="B6">
        <v>85</v>
      </c>
      <c r="C6">
        <v>45</v>
      </c>
      <c r="D6">
        <v>125</v>
      </c>
      <c r="E6" s="2">
        <f>B6*C6*D6/1000000</f>
        <v>0.478125</v>
      </c>
      <c r="F6" s="4">
        <f>65/E6</f>
        <v>135.94771241830065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33</v>
      </c>
      <c r="B8">
        <v>17</v>
      </c>
      <c r="C8">
        <v>1</v>
      </c>
      <c r="D8">
        <v>1</v>
      </c>
      <c r="E8">
        <f>SUM(A8*B8*C8/144*D8)</f>
        <v>3.8958333333333335</v>
      </c>
      <c r="F8">
        <f>INDEX(RATE!B:B,MATCH(A8,RATE!A:A,0))</f>
        <v>52</v>
      </c>
      <c r="G8" s="5">
        <f>SUM(E8*F8)</f>
        <v>202.58333333333334</v>
      </c>
    </row>
    <row r="9" spans="1:7" x14ac:dyDescent="0.25">
      <c r="A9" s="1">
        <v>48</v>
      </c>
      <c r="B9">
        <v>16</v>
      </c>
      <c r="C9">
        <v>1</v>
      </c>
      <c r="D9">
        <v>2</v>
      </c>
      <c r="E9">
        <f>SUM(A9*B9*C9/144*D9)</f>
        <v>10.666666666666666</v>
      </c>
      <c r="F9">
        <f>INDEX(RATE!B:B,MATCH(A9,RATE!A:A,0))</f>
        <v>52</v>
      </c>
      <c r="G9" s="5">
        <f>SUM(E9*F9)</f>
        <v>554.6666666666666</v>
      </c>
    </row>
    <row r="10" spans="1:7" x14ac:dyDescent="0.25">
      <c r="A10" s="1">
        <v>31</v>
      </c>
      <c r="B10">
        <v>16</v>
      </c>
      <c r="C10">
        <v>1</v>
      </c>
      <c r="D10">
        <v>2</v>
      </c>
      <c r="E10">
        <f>SUM(A10*B10*C10/144*D10)</f>
        <v>6.888888888888889</v>
      </c>
      <c r="F10">
        <f>INDEX(RATE!B:B,MATCH(A10,RATE!A:A,0))</f>
        <v>52</v>
      </c>
      <c r="G10" s="5">
        <f>SUM(E10*F10)</f>
        <v>358.22222222222223</v>
      </c>
    </row>
    <row r="11" spans="1:7" x14ac:dyDescent="0.25">
      <c r="A11" s="1">
        <v>31</v>
      </c>
      <c r="B11">
        <v>47</v>
      </c>
      <c r="C11">
        <v>0.5</v>
      </c>
      <c r="D11">
        <v>1</v>
      </c>
      <c r="E11">
        <f>SUM(A11*B11*C11/144*D11)</f>
        <v>5.059027777777778</v>
      </c>
      <c r="F11">
        <f>INDEX(RATE!B:B,MATCH(A11,RATE!A:A,0))</f>
        <v>52</v>
      </c>
      <c r="G11" s="5">
        <f>SUM(E11*F11)</f>
        <v>263.06944444444446</v>
      </c>
    </row>
    <row r="12" spans="1:7" x14ac:dyDescent="0.25">
      <c r="A12" s="1">
        <v>47</v>
      </c>
      <c r="B12">
        <v>3</v>
      </c>
      <c r="C12">
        <v>1</v>
      </c>
      <c r="D12">
        <v>4</v>
      </c>
      <c r="E12">
        <f>SUM(A12*B12*C12/144*D12)</f>
        <v>3.9166666666666665</v>
      </c>
      <c r="F12">
        <f>INDEX(RATE!B:B,MATCH(A12,RATE!A:A,0))</f>
        <v>52</v>
      </c>
      <c r="G12" s="5">
        <f>SUM(E12*F12)</f>
        <v>203.66666666666666</v>
      </c>
    </row>
    <row r="13" spans="1:7" x14ac:dyDescent="0.25">
      <c r="A13" s="1">
        <v>6</v>
      </c>
      <c r="B13">
        <v>3</v>
      </c>
      <c r="C13">
        <v>3</v>
      </c>
      <c r="D13">
        <v>4</v>
      </c>
      <c r="E13">
        <f>SUM(A13*B13*C13/144*D13)</f>
        <v>1.5</v>
      </c>
      <c r="F13">
        <f>INDEX(RATE!B:B,MATCH(A13,RATE!A:A,0))</f>
        <v>42</v>
      </c>
      <c r="G13" s="5">
        <f>SUM(E13*F13)</f>
        <v>63</v>
      </c>
    </row>
    <row r="14" spans="1:7" x14ac:dyDescent="0.25">
      <c r="A14" s="1">
        <v>31</v>
      </c>
      <c r="B14">
        <v>3</v>
      </c>
      <c r="C14">
        <v>1</v>
      </c>
      <c r="D14">
        <v>2</v>
      </c>
      <c r="E14">
        <f>SUM(A14*B14*C14/144*D14)</f>
        <v>1.2916666666666667</v>
      </c>
      <c r="F14">
        <f>INDEX(RATE!B:B,MATCH(A14,RATE!A:A,0))</f>
        <v>52</v>
      </c>
      <c r="G14" s="5">
        <f>SUM(E14*F14)</f>
        <v>67.16666666666667</v>
      </c>
    </row>
    <row r="15" spans="1:7" x14ac:dyDescent="0.25">
      <c r="A15" s="1" t="s">
        <v>140</v>
      </c>
      <c r="E15">
        <f>SUM(E8:E14)</f>
        <v>33.21875</v>
      </c>
      <c r="G15" s="5">
        <f>SUM(G8:G14)</f>
        <v>1712.375</v>
      </c>
    </row>
    <row r="16" spans="1:7" x14ac:dyDescent="0.25">
      <c r="A16" s="1" t="s">
        <v>141</v>
      </c>
      <c r="E16" s="2">
        <f>+E15*0.2</f>
        <v>6.643750000000001</v>
      </c>
      <c r="G16" s="5">
        <f>+G15*0.2</f>
        <v>342.475</v>
      </c>
    </row>
    <row r="17" spans="1:7" x14ac:dyDescent="0.25">
      <c r="A17" s="1" t="s">
        <v>142</v>
      </c>
      <c r="E17" s="5">
        <f>SUM(E15:E16)</f>
        <v>39.8625</v>
      </c>
      <c r="G17" s="5">
        <f>SUM(G15:G16)</f>
        <v>2054.85</v>
      </c>
    </row>
    <row r="18" spans="1:7" x14ac:dyDescent="0.25">
      <c r="A18" s="1" t="s">
        <v>11</v>
      </c>
      <c r="G18" s="5">
        <f>INDEX('PRODUCT LIST'!L:L,MATCH(F2,'PRODUCT LIST'!C:C,0))</f>
        <v>950</v>
      </c>
    </row>
    <row r="19" spans="1:7" x14ac:dyDescent="0.25">
      <c r="A19" s="1" t="s">
        <v>143</v>
      </c>
      <c r="G19" s="5">
        <f>G17*8%</f>
        <v>164.388</v>
      </c>
    </row>
    <row r="20" spans="1:7" x14ac:dyDescent="0.25">
      <c r="A20" s="1" t="s">
        <v>139</v>
      </c>
      <c r="G20" s="5">
        <f>SUM(G17:G19)</f>
        <v>3169.238</v>
      </c>
    </row>
    <row r="21" spans="1:7" x14ac:dyDescent="0.25">
      <c r="A21" s="1" t="s">
        <v>144</v>
      </c>
      <c r="G21" s="5">
        <f>G20*10%</f>
        <v>316.9238</v>
      </c>
    </row>
    <row r="22" spans="1:7" x14ac:dyDescent="0.25">
      <c r="A22" s="1" t="s">
        <v>145</v>
      </c>
      <c r="G22" s="5">
        <f>G21+G20</f>
        <v>3486.1618</v>
      </c>
    </row>
    <row r="23" spans="1:7" x14ac:dyDescent="0.25">
      <c r="A23" s="1" t="s">
        <v>146</v>
      </c>
      <c r="C23">
        <v>2</v>
      </c>
      <c r="D23" t="s">
        <v>147</v>
      </c>
      <c r="F23">
        <v>35</v>
      </c>
      <c r="G23" s="5">
        <f>C23*F23</f>
        <v>70</v>
      </c>
    </row>
    <row r="24" spans="1:7" x14ac:dyDescent="0.25">
      <c r="A24" s="1" t="s">
        <v>148</v>
      </c>
      <c r="C24">
        <v>0</v>
      </c>
      <c r="D24" t="s">
        <v>149</v>
      </c>
      <c r="F24">
        <v>180</v>
      </c>
      <c r="G24" s="5">
        <f>C24*F24</f>
        <v>0</v>
      </c>
    </row>
    <row r="25" spans="1:7" x14ac:dyDescent="0.25">
      <c r="A25" s="1" t="s">
        <v>150</v>
      </c>
      <c r="C25">
        <v>0</v>
      </c>
      <c r="D25" t="s">
        <v>151</v>
      </c>
      <c r="F25">
        <v>150</v>
      </c>
      <c r="G25" s="5">
        <f>C25*F25</f>
        <v>0</v>
      </c>
    </row>
    <row r="26" spans="1:7" x14ac:dyDescent="0.25">
      <c r="A26" s="1" t="s">
        <v>152</v>
      </c>
      <c r="C26">
        <v>0</v>
      </c>
      <c r="D26" t="s">
        <v>153</v>
      </c>
      <c r="F26">
        <v>2</v>
      </c>
      <c r="G26" s="5">
        <f>C26*F26</f>
        <v>0</v>
      </c>
    </row>
    <row r="27" spans="1:7" x14ac:dyDescent="0.25">
      <c r="A27" s="1" t="s">
        <v>154</v>
      </c>
      <c r="D27" t="s">
        <v>155</v>
      </c>
      <c r="E27" s="5">
        <f>E6</f>
        <v>0.478125</v>
      </c>
      <c r="F27">
        <f>65/E27</f>
        <v>135.94771241830065</v>
      </c>
      <c r="G27" s="5">
        <f>350000/F27</f>
        <v>2574.519230769231</v>
      </c>
    </row>
    <row r="28" spans="1:9" x14ac:dyDescent="0.25">
      <c r="A28" s="1" t="s">
        <v>139</v>
      </c>
      <c r="G28" s="5">
        <f>SUM(G22:G27)</f>
        <v>6130.68103076923</v>
      </c>
      <c r="H28" s="5">
        <f>+G28/78</f>
        <v>78.59847475345167</v>
      </c>
      <c r="I28" t="s">
        <v>156</v>
      </c>
    </row>
    <row r="29" spans="1:7" x14ac:dyDescent="0.25">
      <c r="A29" s="1" t="s">
        <v>157</v>
      </c>
      <c r="G29" s="5">
        <f>G28*15%</f>
        <v>919.6021546153845</v>
      </c>
    </row>
    <row r="30" spans="1:7" x14ac:dyDescent="0.25">
      <c r="A30" s="1" t="s">
        <v>158</v>
      </c>
      <c r="G30" s="5">
        <f>G28*15%</f>
        <v>919.6021546153845</v>
      </c>
    </row>
    <row r="31" spans="1:8" x14ac:dyDescent="0.25">
      <c r="A31" s="1" t="s">
        <v>139</v>
      </c>
      <c r="G31" s="5">
        <f>SUM(G28:G30)</f>
        <v>7969.885339999999</v>
      </c>
      <c r="H31" s="5">
        <f>+G31/78</f>
        <v>102.17801717948717</v>
      </c>
    </row>
    <row r="32" spans="1:7" x14ac:dyDescent="0.25">
      <c r="A32" s="1" t="s">
        <v>159</v>
      </c>
      <c r="G32" s="5">
        <f>G31*0.2</f>
        <v>1593.977068</v>
      </c>
    </row>
    <row r="33" spans="1:9" x14ac:dyDescent="0.25">
      <c r="A33" s="1" t="s">
        <v>160</v>
      </c>
      <c r="G33" s="4">
        <f>G31+G32</f>
        <v>9563.862407999999</v>
      </c>
      <c r="H33" s="5">
        <f>+G33/78</f>
        <v>122.6136206153846</v>
      </c>
      <c r="I33" t="s">
        <v>156</v>
      </c>
    </row>
    <row r="34" spans="1:9" x14ac:dyDescent="0.25">
      <c r="A34" s="1" t="s">
        <v>161</v>
      </c>
      <c r="G34" s="4">
        <f>G20+G23+G24+G25+G26+G27+G29+G32</f>
        <v>8327.336453384614</v>
      </c>
      <c r="H34" s="5">
        <f>+G34/78</f>
        <v>106.76072376134121</v>
      </c>
      <c r="I34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LIST'!D16</f>
        <v>FLUTED NIGHT STAND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LIST'!C16</f>
        <v>DF20015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45X40X60</v>
      </c>
      <c r="C4"/>
      <c r="D4"/>
    </row>
    <row r="5" spans="1:4" x14ac:dyDescent="0.25">
      <c r="A5" s="1" t="s">
        <v>6</v>
      </c>
      <c r="B5" t="str">
        <f>INDEX('PRODUCT LIST'!G:G,MATCH(F2,'PRODUCT LIST'!C:C,0))</f>
        <v>50X45X65</v>
      </c>
      <c r="C5"/>
      <c r="D5"/>
    </row>
    <row r="6" spans="1:7" x14ac:dyDescent="0.25">
      <c r="A6" s="1" t="s">
        <v>7</v>
      </c>
      <c r="B6">
        <v>50</v>
      </c>
      <c r="C6">
        <v>45</v>
      </c>
      <c r="D6">
        <v>65</v>
      </c>
      <c r="E6" s="2">
        <f>B6*C6*D6/1000000</f>
        <v>0.14625</v>
      </c>
      <c r="F6" s="4">
        <f>65/E6</f>
        <v>444.44444444444446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20</v>
      </c>
      <c r="B8">
        <v>17</v>
      </c>
      <c r="C8">
        <v>1</v>
      </c>
      <c r="D8">
        <v>1</v>
      </c>
      <c r="E8">
        <f>SUM(A8*B8*C8/144*D8)</f>
        <v>2.361111111111111</v>
      </c>
      <c r="F8">
        <f>INDEX(RATE!B:B,MATCH(A8,RATE!A:A,0))</f>
        <v>42</v>
      </c>
      <c r="G8" s="5">
        <f>SUM(E8*F8)</f>
        <v>99.16666666666667</v>
      </c>
    </row>
    <row r="9" spans="1:7" x14ac:dyDescent="0.25">
      <c r="A9" s="1">
        <v>25</v>
      </c>
      <c r="B9">
        <v>16</v>
      </c>
      <c r="C9">
        <v>1</v>
      </c>
      <c r="D9">
        <v>2</v>
      </c>
      <c r="E9">
        <f>SUM(A9*B9*C9/144*D9)</f>
        <v>5.555555555555555</v>
      </c>
      <c r="F9">
        <f>INDEX(RATE!B:B,MATCH(A9,RATE!A:A,0))</f>
        <v>52</v>
      </c>
      <c r="G9" s="5">
        <f>SUM(E9*F9)</f>
        <v>288.88888888888886</v>
      </c>
    </row>
    <row r="10" spans="1:7" x14ac:dyDescent="0.25">
      <c r="A10" s="1">
        <v>18</v>
      </c>
      <c r="B10">
        <v>16</v>
      </c>
      <c r="C10">
        <v>1</v>
      </c>
      <c r="D10">
        <v>2</v>
      </c>
      <c r="E10">
        <f>SUM(A10*B10*C10/144*D10)</f>
        <v>4</v>
      </c>
      <c r="F10">
        <f>INDEX(RATE!B:B,MATCH(A10,RATE!A:A,0))</f>
        <v>42</v>
      </c>
      <c r="G10" s="5">
        <f>SUM(E10*F10)</f>
        <v>168</v>
      </c>
    </row>
    <row r="11" spans="1:7" x14ac:dyDescent="0.25">
      <c r="A11" s="1">
        <v>18</v>
      </c>
      <c r="B11">
        <v>24</v>
      </c>
      <c r="C11">
        <v>0.5</v>
      </c>
      <c r="D11">
        <v>1</v>
      </c>
      <c r="E11">
        <f>SUM(A11*B11*C11/144*D11)</f>
        <v>1.5</v>
      </c>
      <c r="F11">
        <f>INDEX(RATE!B:B,MATCH(A11,RATE!A:A,0))</f>
        <v>42</v>
      </c>
      <c r="G11" s="5">
        <f>SUM(E11*F11)</f>
        <v>63</v>
      </c>
    </row>
    <row r="12" spans="1:7" x14ac:dyDescent="0.25">
      <c r="A12" s="1">
        <v>24</v>
      </c>
      <c r="B12">
        <v>3</v>
      </c>
      <c r="C12">
        <v>1</v>
      </c>
      <c r="D12">
        <v>4</v>
      </c>
      <c r="E12">
        <f>SUM(A12*B12*C12/144*D12)</f>
        <v>2</v>
      </c>
      <c r="F12">
        <f>INDEX(RATE!B:B,MATCH(A12,RATE!A:A,0))</f>
        <v>42</v>
      </c>
      <c r="G12" s="5">
        <f>SUM(E12*F12)</f>
        <v>84</v>
      </c>
    </row>
    <row r="13" spans="1:7" x14ac:dyDescent="0.25">
      <c r="A13" s="1">
        <v>6</v>
      </c>
      <c r="B13">
        <v>3</v>
      </c>
      <c r="C13">
        <v>3</v>
      </c>
      <c r="D13">
        <v>4</v>
      </c>
      <c r="E13">
        <f>SUM(A13*B13*C13/144*D13)</f>
        <v>1.5</v>
      </c>
      <c r="F13">
        <f>INDEX(RATE!B:B,MATCH(A13,RATE!A:A,0))</f>
        <v>42</v>
      </c>
      <c r="G13" s="5">
        <f>SUM(E13*F13)</f>
        <v>63</v>
      </c>
    </row>
    <row r="14" spans="1:7" x14ac:dyDescent="0.25">
      <c r="A14" s="1">
        <v>18</v>
      </c>
      <c r="B14">
        <v>3</v>
      </c>
      <c r="C14">
        <v>1</v>
      </c>
      <c r="D14">
        <v>2</v>
      </c>
      <c r="E14">
        <f>SUM(A14*B14*C14/144*D14)</f>
        <v>0.75</v>
      </c>
      <c r="F14">
        <f>INDEX(RATE!B:B,MATCH(A14,RATE!A:A,0))</f>
        <v>42</v>
      </c>
      <c r="G14" s="5">
        <f>SUM(E14*F14)</f>
        <v>31.5</v>
      </c>
    </row>
    <row r="15" spans="1:7" x14ac:dyDescent="0.25">
      <c r="A15" s="1" t="s">
        <v>140</v>
      </c>
      <c r="E15">
        <f>SUM(E8:E14)</f>
        <v>17.666666666666664</v>
      </c>
      <c r="G15" s="5">
        <f>SUM(G8:G14)</f>
        <v>797.5555555555555</v>
      </c>
    </row>
    <row r="16" spans="1:7" x14ac:dyDescent="0.25">
      <c r="A16" s="1" t="s">
        <v>141</v>
      </c>
      <c r="E16" s="2">
        <f>+E15*0.2</f>
        <v>3.533333333333333</v>
      </c>
      <c r="G16" s="5">
        <f>+G15*0.2</f>
        <v>159.51111111111112</v>
      </c>
    </row>
    <row r="17" spans="1:7" x14ac:dyDescent="0.25">
      <c r="A17" s="1" t="s">
        <v>142</v>
      </c>
      <c r="E17" s="5">
        <f>SUM(E15:E16)</f>
        <v>21.199999999999996</v>
      </c>
      <c r="G17" s="5">
        <f>SUM(G15:G16)</f>
        <v>957.0666666666666</v>
      </c>
    </row>
    <row r="18" spans="1:7" x14ac:dyDescent="0.25">
      <c r="A18" s="1" t="s">
        <v>11</v>
      </c>
      <c r="G18" s="5">
        <f>INDEX('PRODUCT LIST'!L:L,MATCH(F2,'PRODUCT LIST'!C:C,0))</f>
        <v>380</v>
      </c>
    </row>
    <row r="19" spans="1:7" x14ac:dyDescent="0.25">
      <c r="A19" s="1" t="s">
        <v>143</v>
      </c>
      <c r="G19" s="5">
        <f>G17*8%</f>
        <v>76.56533333333333</v>
      </c>
    </row>
    <row r="20" spans="1:7" x14ac:dyDescent="0.25">
      <c r="A20" s="1" t="s">
        <v>139</v>
      </c>
      <c r="G20" s="5">
        <f>SUM(G17:G19)</f>
        <v>1413.6319999999998</v>
      </c>
    </row>
    <row r="21" spans="1:7" x14ac:dyDescent="0.25">
      <c r="A21" s="1" t="s">
        <v>144</v>
      </c>
      <c r="G21" s="5">
        <f>G20*10%</f>
        <v>141.36319999999998</v>
      </c>
    </row>
    <row r="22" spans="1:7" x14ac:dyDescent="0.25">
      <c r="A22" s="1" t="s">
        <v>145</v>
      </c>
      <c r="G22" s="5">
        <f>G21+G20</f>
        <v>1554.9951999999998</v>
      </c>
    </row>
    <row r="23" spans="1:7" x14ac:dyDescent="0.25">
      <c r="A23" s="1" t="s">
        <v>146</v>
      </c>
      <c r="C23">
        <v>1</v>
      </c>
      <c r="D23" t="s">
        <v>147</v>
      </c>
      <c r="F23">
        <v>35</v>
      </c>
      <c r="G23" s="5">
        <f>C23*F23</f>
        <v>35</v>
      </c>
    </row>
    <row r="24" spans="1:7" x14ac:dyDescent="0.25">
      <c r="A24" s="1" t="s">
        <v>148</v>
      </c>
      <c r="C24">
        <v>0</v>
      </c>
      <c r="D24" t="s">
        <v>149</v>
      </c>
      <c r="F24">
        <v>180</v>
      </c>
      <c r="G24" s="5">
        <f>C24*F24</f>
        <v>0</v>
      </c>
    </row>
    <row r="25" spans="1:7" x14ac:dyDescent="0.25">
      <c r="A25" s="1" t="s">
        <v>150</v>
      </c>
      <c r="C25">
        <v>0</v>
      </c>
      <c r="D25" t="s">
        <v>151</v>
      </c>
      <c r="F25">
        <v>150</v>
      </c>
      <c r="G25" s="5">
        <f>C25*F25</f>
        <v>0</v>
      </c>
    </row>
    <row r="26" spans="1:7" x14ac:dyDescent="0.25">
      <c r="A26" s="1" t="s">
        <v>152</v>
      </c>
      <c r="C26">
        <v>30</v>
      </c>
      <c r="D26" t="s">
        <v>153</v>
      </c>
      <c r="F26">
        <v>2</v>
      </c>
      <c r="G26" s="5">
        <f>C26*F26</f>
        <v>60</v>
      </c>
    </row>
    <row r="27" spans="1:7" x14ac:dyDescent="0.25">
      <c r="A27" s="1" t="s">
        <v>154</v>
      </c>
      <c r="D27" t="s">
        <v>155</v>
      </c>
      <c r="E27" s="5">
        <f>E6</f>
        <v>0.14625</v>
      </c>
      <c r="F27">
        <f>65/E27</f>
        <v>444.44444444444446</v>
      </c>
      <c r="G27" s="5">
        <f>350000/F27</f>
        <v>787.5</v>
      </c>
    </row>
    <row r="28" spans="1:9" x14ac:dyDescent="0.25">
      <c r="A28" s="1" t="s">
        <v>139</v>
      </c>
      <c r="G28" s="5">
        <f>SUM(G22:G27)</f>
        <v>2437.4952</v>
      </c>
      <c r="H28" s="5">
        <f>+G28/78</f>
        <v>31.24993846153846</v>
      </c>
      <c r="I28" t="s">
        <v>156</v>
      </c>
    </row>
    <row r="29" spans="1:7" x14ac:dyDescent="0.25">
      <c r="A29" s="1" t="s">
        <v>157</v>
      </c>
      <c r="G29" s="5">
        <f>G28*15%</f>
        <v>365.62427999999994</v>
      </c>
    </row>
    <row r="30" spans="1:7" x14ac:dyDescent="0.25">
      <c r="A30" s="1" t="s">
        <v>158</v>
      </c>
      <c r="G30" s="5">
        <f>G28*15%</f>
        <v>365.62427999999994</v>
      </c>
    </row>
    <row r="31" spans="1:8" x14ac:dyDescent="0.25">
      <c r="A31" s="1" t="s">
        <v>139</v>
      </c>
      <c r="G31" s="5">
        <f>SUM(G28:G30)</f>
        <v>3168.74376</v>
      </c>
      <c r="H31" s="5">
        <f>+G31/78</f>
        <v>40.624919999999996</v>
      </c>
    </row>
    <row r="32" spans="1:7" x14ac:dyDescent="0.25">
      <c r="A32" s="1" t="s">
        <v>159</v>
      </c>
      <c r="G32" s="5">
        <f>G31*0.2</f>
        <v>633.748752</v>
      </c>
    </row>
    <row r="33" spans="1:9" x14ac:dyDescent="0.25">
      <c r="A33" s="1" t="s">
        <v>160</v>
      </c>
      <c r="G33" s="4">
        <f>G31+G32</f>
        <v>3802.492512</v>
      </c>
      <c r="H33" s="5">
        <f>+G33/78</f>
        <v>48.749904</v>
      </c>
      <c r="I33" t="s">
        <v>156</v>
      </c>
    </row>
    <row r="34" spans="1:9" x14ac:dyDescent="0.25">
      <c r="A34" s="1" t="s">
        <v>161</v>
      </c>
      <c r="G34" s="4">
        <f>G20+G23+G24+G25+G26+G27+G29+G32</f>
        <v>3295.5050319999996</v>
      </c>
      <c r="H34" s="5">
        <f>+G34/78</f>
        <v>42.25006451282051</v>
      </c>
      <c r="I34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LIST'!D17</f>
        <v>MIRROR WITH CARVED FRAME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LIST'!C17</f>
        <v>DF20016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70X4X100</v>
      </c>
      <c r="C4"/>
      <c r="D4"/>
    </row>
    <row r="5" spans="1:4" x14ac:dyDescent="0.25">
      <c r="A5" s="1" t="s">
        <v>6</v>
      </c>
      <c r="B5" t="str">
        <f>INDEX('PRODUCT LIST'!G:G,MATCH(F2,'PRODUCT LIST'!C:C,0))</f>
        <v>75X9X105</v>
      </c>
      <c r="C5"/>
      <c r="D5"/>
    </row>
    <row r="6" spans="1:7" x14ac:dyDescent="0.25">
      <c r="A6" s="1" t="s">
        <v>7</v>
      </c>
      <c r="B6">
        <v>75</v>
      </c>
      <c r="C6">
        <v>9</v>
      </c>
      <c r="D6">
        <v>105</v>
      </c>
      <c r="E6" s="2">
        <f>B6*C6*D6/1000000</f>
        <v>0.070875</v>
      </c>
      <c r="F6" s="4">
        <f>65/E6</f>
        <v>917.1075837742505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29</v>
      </c>
      <c r="B8">
        <v>4</v>
      </c>
      <c r="C8">
        <v>1</v>
      </c>
      <c r="D8">
        <v>2</v>
      </c>
      <c r="E8">
        <f>SUM(A8*B8*C8/144*D8)</f>
        <v>1.6111111111111112</v>
      </c>
      <c r="F8">
        <f>INDEX(RATE!B:B,MATCH(A8,RATE!A:A,0))</f>
        <v>52</v>
      </c>
      <c r="G8" s="5">
        <f>SUM(E8*F8)</f>
        <v>83.77777777777779</v>
      </c>
    </row>
    <row r="9" spans="1:7" x14ac:dyDescent="0.25">
      <c r="A9" s="1">
        <v>40</v>
      </c>
      <c r="B9">
        <v>4</v>
      </c>
      <c r="C9">
        <v>1</v>
      </c>
      <c r="D9">
        <v>2</v>
      </c>
      <c r="E9">
        <f>SUM(A9*B9*C9/144*D9)</f>
        <v>2.2222222222222223</v>
      </c>
      <c r="F9">
        <f>INDEX(RATE!B:B,MATCH(A9,RATE!A:A,0))</f>
        <v>52</v>
      </c>
      <c r="G9" s="5">
        <f>SUM(E9*F9)</f>
        <v>115.55555555555556</v>
      </c>
    </row>
    <row r="10" spans="1:7" x14ac:dyDescent="0.25">
      <c r="A10" s="1" t="s">
        <v>140</v>
      </c>
      <c r="E10">
        <f>SUM(E8:E9)</f>
        <v>3.8333333333333335</v>
      </c>
      <c r="G10" s="5">
        <f>SUM(G8:G9)</f>
        <v>199.33333333333334</v>
      </c>
    </row>
    <row r="11" spans="1:7" x14ac:dyDescent="0.25">
      <c r="A11" s="1" t="s">
        <v>141</v>
      </c>
      <c r="E11" s="2">
        <f>+E10*0.2</f>
        <v>0.7666666666666667</v>
      </c>
      <c r="G11" s="5">
        <f>+G10*0.2</f>
        <v>39.866666666666674</v>
      </c>
    </row>
    <row r="12" spans="1:7" x14ac:dyDescent="0.25">
      <c r="A12" s="1" t="s">
        <v>142</v>
      </c>
      <c r="E12" s="5">
        <f>SUM(E10:E11)</f>
        <v>4.6</v>
      </c>
      <c r="G12" s="5">
        <f>SUM(G10:G11)</f>
        <v>239.20000000000002</v>
      </c>
    </row>
    <row r="13" spans="1:7" x14ac:dyDescent="0.25">
      <c r="A13" s="1" t="s">
        <v>11</v>
      </c>
      <c r="G13" s="5">
        <f>INDEX('PRODUCT LIST'!L:L,MATCH(F2,'PRODUCT LIST'!C:C,0))</f>
        <v>350</v>
      </c>
    </row>
    <row r="14" spans="1:7" x14ac:dyDescent="0.25">
      <c r="A14" s="1" t="s">
        <v>143</v>
      </c>
      <c r="G14" s="5">
        <f>G12*8%</f>
        <v>19.136000000000003</v>
      </c>
    </row>
    <row r="15" spans="1:7" x14ac:dyDescent="0.25">
      <c r="A15" s="1" t="s">
        <v>139</v>
      </c>
      <c r="G15" s="5">
        <f>SUM(G12:G14)</f>
        <v>608.336</v>
      </c>
    </row>
    <row r="16" spans="1:7" x14ac:dyDescent="0.25">
      <c r="A16" s="1" t="s">
        <v>144</v>
      </c>
      <c r="G16" s="5">
        <f>G15*10%</f>
        <v>60.833600000000004</v>
      </c>
    </row>
    <row r="17" spans="1:7" x14ac:dyDescent="0.25">
      <c r="A17" s="1" t="s">
        <v>145</v>
      </c>
      <c r="G17" s="5">
        <f>G16+G15</f>
        <v>669.1696000000001</v>
      </c>
    </row>
    <row r="18" spans="1:7" x14ac:dyDescent="0.25">
      <c r="A18" s="1" t="s">
        <v>146</v>
      </c>
      <c r="C18">
        <v>0</v>
      </c>
      <c r="D18" t="s">
        <v>147</v>
      </c>
      <c r="F18">
        <v>35</v>
      </c>
      <c r="G18" s="5">
        <f>C18*F18</f>
        <v>0</v>
      </c>
    </row>
    <row r="19" spans="1:7" x14ac:dyDescent="0.25">
      <c r="A19" s="1" t="s">
        <v>148</v>
      </c>
      <c r="C19">
        <v>4</v>
      </c>
      <c r="D19" t="s">
        <v>149</v>
      </c>
      <c r="F19">
        <v>180</v>
      </c>
      <c r="G19" s="5">
        <f>C19*F19</f>
        <v>720</v>
      </c>
    </row>
    <row r="20" spans="1:7" x14ac:dyDescent="0.25">
      <c r="A20" s="1" t="s">
        <v>150</v>
      </c>
      <c r="C20">
        <v>0</v>
      </c>
      <c r="D20" t="s">
        <v>151</v>
      </c>
      <c r="F20">
        <v>150</v>
      </c>
      <c r="G20" s="5">
        <f>C20*F20</f>
        <v>0</v>
      </c>
    </row>
    <row r="21" spans="1:7" x14ac:dyDescent="0.25">
      <c r="A21" s="1" t="s">
        <v>152</v>
      </c>
      <c r="C21">
        <v>45</v>
      </c>
      <c r="D21" t="s">
        <v>153</v>
      </c>
      <c r="F21">
        <v>2</v>
      </c>
      <c r="G21" s="5">
        <f>C21*F21</f>
        <v>90</v>
      </c>
    </row>
    <row r="22" spans="1:7" x14ac:dyDescent="0.25">
      <c r="A22" s="1" t="s">
        <v>154</v>
      </c>
      <c r="D22" t="s">
        <v>155</v>
      </c>
      <c r="E22" s="5">
        <f>E6</f>
        <v>0.070875</v>
      </c>
      <c r="F22">
        <f>65/E22</f>
        <v>917.1075837742505</v>
      </c>
      <c r="G22" s="5">
        <f>350000/F22</f>
        <v>381.63461538461536</v>
      </c>
    </row>
    <row r="23" spans="1:9" x14ac:dyDescent="0.25">
      <c r="A23" s="1" t="s">
        <v>139</v>
      </c>
      <c r="G23" s="5">
        <f>SUM(G17:G22)</f>
        <v>1860.8042153846154</v>
      </c>
      <c r="H23" s="5">
        <f>+G23/78</f>
        <v>23.856464299802763</v>
      </c>
      <c r="I23" t="s">
        <v>156</v>
      </c>
    </row>
    <row r="24" spans="1:7" x14ac:dyDescent="0.25">
      <c r="A24" s="1" t="s">
        <v>157</v>
      </c>
      <c r="G24" s="5">
        <f>G23*15%</f>
        <v>279.1206323076923</v>
      </c>
    </row>
    <row r="25" spans="1:7" x14ac:dyDescent="0.25">
      <c r="A25" s="1" t="s">
        <v>158</v>
      </c>
      <c r="G25" s="5">
        <f>G23*15%</f>
        <v>279.1206323076923</v>
      </c>
    </row>
    <row r="26" spans="1:8" x14ac:dyDescent="0.25">
      <c r="A26" s="1" t="s">
        <v>139</v>
      </c>
      <c r="G26" s="5">
        <f>SUM(G23:G25)</f>
        <v>2419.0454799999998</v>
      </c>
      <c r="H26" s="5">
        <f>+G26/78</f>
        <v>31.013403589743586</v>
      </c>
    </row>
    <row r="27" spans="1:7" x14ac:dyDescent="0.25">
      <c r="A27" s="1" t="s">
        <v>159</v>
      </c>
      <c r="G27" s="5">
        <f>G26*0.2</f>
        <v>483.80909599999995</v>
      </c>
    </row>
    <row r="28" spans="1:9" x14ac:dyDescent="0.25">
      <c r="A28" s="1" t="s">
        <v>160</v>
      </c>
      <c r="G28" s="4">
        <f>G26+G27</f>
        <v>2902.8545759999997</v>
      </c>
      <c r="H28" s="5">
        <f>+G28/78</f>
        <v>37.216084307692306</v>
      </c>
      <c r="I28" t="s">
        <v>156</v>
      </c>
    </row>
    <row r="29" spans="1:9" x14ac:dyDescent="0.25">
      <c r="A29" s="1" t="s">
        <v>161</v>
      </c>
      <c r="G29" s="4">
        <f>G15+G18+G19+G20+G21+G22+G24+G27</f>
        <v>2562.9003436923076</v>
      </c>
      <c r="H29" s="5">
        <f>+G29/78</f>
        <v>32.85769671400394</v>
      </c>
      <c r="I29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LIST'!D18</f>
        <v>KIDS STUDY DESK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LIST'!C18</f>
        <v>DF20017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100X50X75</v>
      </c>
      <c r="C4"/>
      <c r="D4"/>
    </row>
    <row r="5" spans="1:4" x14ac:dyDescent="0.25">
      <c r="A5" s="1" t="s">
        <v>6</v>
      </c>
      <c r="B5" t="str">
        <f>INDEX('PRODUCT LIST'!G:G,MATCH(F2,'PRODUCT LIST'!C:C,0))</f>
        <v>105X55X80</v>
      </c>
      <c r="C5"/>
      <c r="D5"/>
    </row>
    <row r="6" spans="1:7" x14ac:dyDescent="0.25">
      <c r="A6" s="1" t="s">
        <v>7</v>
      </c>
      <c r="B6">
        <v>105</v>
      </c>
      <c r="C6">
        <v>55</v>
      </c>
      <c r="D6">
        <v>80</v>
      </c>
      <c r="E6" s="2">
        <f>B6*C6*D6/1000000</f>
        <v>0.462</v>
      </c>
      <c r="F6" s="4">
        <f>65/E6</f>
        <v>140.69264069264068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41</v>
      </c>
      <c r="B8">
        <v>22</v>
      </c>
      <c r="C8">
        <v>1</v>
      </c>
      <c r="D8">
        <v>1</v>
      </c>
      <c r="E8">
        <f>SUM(A8*B8*C8/144*D8)</f>
        <v>6.263888888888889</v>
      </c>
      <c r="F8">
        <f>INDEX(RATE!B:B,MATCH(A8,RATE!A:A,0))</f>
        <v>52</v>
      </c>
      <c r="G8" s="5">
        <f>SUM(E8*F8)</f>
        <v>325.72222222222223</v>
      </c>
    </row>
    <row r="9" spans="1:7" x14ac:dyDescent="0.25">
      <c r="A9" s="1">
        <v>30</v>
      </c>
      <c r="B9">
        <v>3</v>
      </c>
      <c r="C9">
        <v>3</v>
      </c>
      <c r="D9">
        <v>4</v>
      </c>
      <c r="E9">
        <f>SUM(A9*B9*C9/144*D9)</f>
        <v>7.5</v>
      </c>
      <c r="F9">
        <f>INDEX(RATE!B:B,MATCH(A9,RATE!A:A,0))</f>
        <v>52</v>
      </c>
      <c r="G9" s="5">
        <f>SUM(E9*F9)</f>
        <v>390</v>
      </c>
    </row>
    <row r="10" spans="1:7" x14ac:dyDescent="0.25">
      <c r="A10" s="1">
        <v>39</v>
      </c>
      <c r="B10">
        <v>4</v>
      </c>
      <c r="C10">
        <v>1</v>
      </c>
      <c r="D10">
        <v>2</v>
      </c>
      <c r="E10">
        <f>SUM(A10*B10*C10/144*D10)</f>
        <v>2.1666666666666665</v>
      </c>
      <c r="F10">
        <f>INDEX(RATE!B:B,MATCH(A10,RATE!A:A,0))</f>
        <v>52</v>
      </c>
      <c r="G10" s="5">
        <f>SUM(E10*F10)</f>
        <v>112.66666666666666</v>
      </c>
    </row>
    <row r="11" spans="1:7" x14ac:dyDescent="0.25">
      <c r="A11" s="1">
        <v>20</v>
      </c>
      <c r="B11">
        <v>4</v>
      </c>
      <c r="C11">
        <v>1</v>
      </c>
      <c r="D11">
        <v>2</v>
      </c>
      <c r="E11">
        <f>SUM(A11*B11*C11/144*D11)</f>
        <v>1.1111111111111112</v>
      </c>
      <c r="F11">
        <f>INDEX(RATE!B:B,MATCH(A11,RATE!A:A,0))</f>
        <v>42</v>
      </c>
      <c r="G11" s="5">
        <f>SUM(E11*F11)</f>
        <v>46.66666666666667</v>
      </c>
    </row>
    <row r="12" spans="1:7" x14ac:dyDescent="0.25">
      <c r="A12" s="1" t="s">
        <v>140</v>
      </c>
      <c r="E12">
        <f>SUM(E8:E11)</f>
        <v>17.041666666666668</v>
      </c>
      <c r="G12" s="5">
        <f>SUM(G8:G11)</f>
        <v>875.0555555555554</v>
      </c>
    </row>
    <row r="13" spans="1:7" x14ac:dyDescent="0.25">
      <c r="A13" s="1" t="s">
        <v>141</v>
      </c>
      <c r="E13" s="2">
        <f>+E12*0.2</f>
        <v>3.4083333333333337</v>
      </c>
      <c r="G13" s="5">
        <f>+G12*0.2</f>
        <v>175.0111111111111</v>
      </c>
    </row>
    <row r="14" spans="1:7" x14ac:dyDescent="0.25">
      <c r="A14" s="1" t="s">
        <v>142</v>
      </c>
      <c r="E14" s="5">
        <f>SUM(E12:E13)</f>
        <v>20.45</v>
      </c>
      <c r="G14" s="5">
        <f>SUM(G12:G13)</f>
        <v>1050.0666666666666</v>
      </c>
    </row>
    <row r="15" spans="1:7" x14ac:dyDescent="0.25">
      <c r="A15" s="1" t="s">
        <v>11</v>
      </c>
      <c r="G15" s="5">
        <f>INDEX('PRODUCT LIST'!L:L,MATCH(F2,'PRODUCT LIST'!C:C,0))</f>
        <v>600</v>
      </c>
    </row>
    <row r="16" spans="1:7" x14ac:dyDescent="0.25">
      <c r="A16" s="1" t="s">
        <v>143</v>
      </c>
      <c r="G16" s="5">
        <f>G14*8%</f>
        <v>84.00533333333333</v>
      </c>
    </row>
    <row r="17" spans="1:7" x14ac:dyDescent="0.25">
      <c r="A17" s="1" t="s">
        <v>139</v>
      </c>
      <c r="G17" s="5">
        <f>SUM(G14:G16)</f>
        <v>1734.072</v>
      </c>
    </row>
    <row r="18" spans="1:7" x14ac:dyDescent="0.25">
      <c r="A18" s="1" t="s">
        <v>144</v>
      </c>
      <c r="G18" s="5">
        <f>G17*10%</f>
        <v>173.4072</v>
      </c>
    </row>
    <row r="19" spans="1:7" x14ac:dyDescent="0.25">
      <c r="A19" s="1" t="s">
        <v>145</v>
      </c>
      <c r="G19" s="5">
        <f>G18+G17</f>
        <v>1907.4791999999998</v>
      </c>
    </row>
    <row r="20" spans="1:7" x14ac:dyDescent="0.25">
      <c r="A20" s="1" t="s">
        <v>146</v>
      </c>
      <c r="C20">
        <v>1</v>
      </c>
      <c r="D20" t="s">
        <v>147</v>
      </c>
      <c r="F20">
        <v>35</v>
      </c>
      <c r="G20" s="5">
        <f>C20*F20</f>
        <v>35</v>
      </c>
    </row>
    <row r="21" spans="1:7" x14ac:dyDescent="0.25">
      <c r="A21" s="1" t="s">
        <v>148</v>
      </c>
      <c r="C21">
        <v>0</v>
      </c>
      <c r="D21" t="s">
        <v>149</v>
      </c>
      <c r="F21">
        <v>180</v>
      </c>
      <c r="G21" s="5">
        <f>C21*F21</f>
        <v>0</v>
      </c>
    </row>
    <row r="22" spans="1:7" x14ac:dyDescent="0.25">
      <c r="A22" s="1" t="s">
        <v>150</v>
      </c>
      <c r="C22">
        <v>0</v>
      </c>
      <c r="D22" t="s">
        <v>151</v>
      </c>
      <c r="F22">
        <v>150</v>
      </c>
      <c r="G22" s="5">
        <f>C22*F22</f>
        <v>0</v>
      </c>
    </row>
    <row r="23" spans="1:7" x14ac:dyDescent="0.25">
      <c r="A23" s="1" t="s">
        <v>152</v>
      </c>
      <c r="C23">
        <v>0</v>
      </c>
      <c r="D23" t="s">
        <v>153</v>
      </c>
      <c r="F23">
        <v>2</v>
      </c>
      <c r="G23" s="5">
        <f>C23*F23</f>
        <v>0</v>
      </c>
    </row>
    <row r="24" spans="1:7" x14ac:dyDescent="0.25">
      <c r="A24" s="1" t="s">
        <v>154</v>
      </c>
      <c r="D24" t="s">
        <v>155</v>
      </c>
      <c r="E24" s="5">
        <f>E6</f>
        <v>0.462</v>
      </c>
      <c r="F24">
        <f>65/E24</f>
        <v>140.69264069264068</v>
      </c>
      <c r="G24" s="5">
        <f>350000/F24</f>
        <v>2487.692307692308</v>
      </c>
    </row>
    <row r="25" spans="1:9" x14ac:dyDescent="0.25">
      <c r="A25" s="1" t="s">
        <v>139</v>
      </c>
      <c r="G25" s="5">
        <f>SUM(G19:G24)</f>
        <v>4430.171507692308</v>
      </c>
      <c r="H25" s="5">
        <f>+G25/78</f>
        <v>56.79707061143985</v>
      </c>
      <c r="I25" t="s">
        <v>156</v>
      </c>
    </row>
    <row r="26" spans="1:7" x14ac:dyDescent="0.25">
      <c r="A26" s="1" t="s">
        <v>157</v>
      </c>
      <c r="G26" s="5">
        <f>G25*15%</f>
        <v>664.5257261538462</v>
      </c>
    </row>
    <row r="27" spans="1:7" x14ac:dyDescent="0.25">
      <c r="A27" s="1" t="s">
        <v>158</v>
      </c>
      <c r="G27" s="5">
        <f>G25*15%</f>
        <v>664.5257261538462</v>
      </c>
    </row>
    <row r="28" spans="1:8" x14ac:dyDescent="0.25">
      <c r="A28" s="1" t="s">
        <v>139</v>
      </c>
      <c r="G28" s="5">
        <f>SUM(G25:G27)</f>
        <v>5759.222960000001</v>
      </c>
      <c r="H28" s="5">
        <f>+G28/78</f>
        <v>73.83619179487181</v>
      </c>
    </row>
    <row r="29" spans="1:7" x14ac:dyDescent="0.25">
      <c r="A29" s="1" t="s">
        <v>159</v>
      </c>
      <c r="G29" s="5">
        <f>G28*0.2</f>
        <v>1151.8445920000001</v>
      </c>
    </row>
    <row r="30" spans="1:9" x14ac:dyDescent="0.25">
      <c r="A30" s="1" t="s">
        <v>160</v>
      </c>
      <c r="G30" s="4">
        <f>G28+G29</f>
        <v>6911.067552000001</v>
      </c>
      <c r="H30" s="5">
        <f>+G30/78</f>
        <v>88.60343015384618</v>
      </c>
      <c r="I30" t="s">
        <v>156</v>
      </c>
    </row>
    <row r="31" spans="1:9" x14ac:dyDescent="0.25">
      <c r="A31" s="1" t="s">
        <v>161</v>
      </c>
      <c r="G31" s="4">
        <f>G17+G20+G21+G22+G23+G24+G26+G29</f>
        <v>6073.134625846154</v>
      </c>
      <c r="H31" s="5">
        <f>+G31/78</f>
        <v>77.86070033136096</v>
      </c>
      <c r="I31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LIST'!D19</f>
        <v>DRESSING TABLE WITH MIRROR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LIST'!C19</f>
        <v>DF20018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110X40X150</v>
      </c>
      <c r="C4"/>
      <c r="D4"/>
    </row>
    <row r="5" spans="1:4" x14ac:dyDescent="0.25">
      <c r="A5" s="1" t="s">
        <v>6</v>
      </c>
      <c r="B5" t="str">
        <f>INDEX('PRODUCT LIST'!G:G,MATCH(F2,'PRODUCT LIST'!C:C,0))</f>
        <v>115X45X155</v>
      </c>
      <c r="C5"/>
      <c r="D5"/>
    </row>
    <row r="6" spans="1:7" x14ac:dyDescent="0.25">
      <c r="A6" s="1" t="s">
        <v>7</v>
      </c>
      <c r="B6">
        <v>115</v>
      </c>
      <c r="C6">
        <v>45</v>
      </c>
      <c r="D6">
        <v>155</v>
      </c>
      <c r="E6" s="2">
        <f>B6*C6*D6/1000000</f>
        <v>0.802125</v>
      </c>
      <c r="F6" s="4">
        <f>65/E6</f>
        <v>81.03475144148356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45</v>
      </c>
      <c r="B8">
        <v>17</v>
      </c>
      <c r="C8">
        <v>1</v>
      </c>
      <c r="D8">
        <v>1</v>
      </c>
      <c r="E8">
        <f>SUM(A8*B8*C8/144*D8)</f>
        <v>5.3125</v>
      </c>
      <c r="F8">
        <f>INDEX(RATE!B:B,MATCH(A8,RATE!A:A,0))</f>
        <v>52</v>
      </c>
      <c r="G8" s="5">
        <f>SUM(E8*F8)</f>
        <v>276.25</v>
      </c>
    </row>
    <row r="9" spans="1:7" x14ac:dyDescent="0.25">
      <c r="A9" s="1">
        <v>60</v>
      </c>
      <c r="B9">
        <v>16</v>
      </c>
      <c r="C9">
        <v>1</v>
      </c>
      <c r="D9">
        <v>2</v>
      </c>
      <c r="E9">
        <f>SUM(A9*B9*C9/144*D9)</f>
        <v>13.333333333333334</v>
      </c>
      <c r="F9">
        <f>INDEX(RATE!B:B,MATCH(A9,RATE!A:A,0))</f>
        <v>62</v>
      </c>
      <c r="G9" s="5">
        <f>SUM(E9*F9)</f>
        <v>826.6666666666667</v>
      </c>
    </row>
    <row r="10" spans="1:7" x14ac:dyDescent="0.25">
      <c r="A10" s="1">
        <v>43</v>
      </c>
      <c r="B10">
        <v>16</v>
      </c>
      <c r="C10">
        <v>1</v>
      </c>
      <c r="D10">
        <v>2</v>
      </c>
      <c r="E10">
        <f>SUM(A10*B10*C10/144*D10)</f>
        <v>9.555555555555555</v>
      </c>
      <c r="F10">
        <f>INDEX(RATE!B:B,MATCH(A10,RATE!A:A,0))</f>
        <v>52</v>
      </c>
      <c r="G10" s="5">
        <f>SUM(E10*F10)</f>
        <v>496.88888888888886</v>
      </c>
    </row>
    <row r="11" spans="1:7" x14ac:dyDescent="0.25">
      <c r="A11" s="1">
        <v>43</v>
      </c>
      <c r="B11">
        <v>59</v>
      </c>
      <c r="C11">
        <v>0.5</v>
      </c>
      <c r="D11">
        <v>1</v>
      </c>
      <c r="E11">
        <f>SUM(A11*B11*C11/144*D11)</f>
        <v>8.809027777777779</v>
      </c>
      <c r="F11">
        <f>INDEX(RATE!B:B,MATCH(A11,RATE!A:A,0))</f>
        <v>52</v>
      </c>
      <c r="G11" s="5">
        <f>SUM(E11*F11)</f>
        <v>458.06944444444446</v>
      </c>
    </row>
    <row r="12" spans="1:7" x14ac:dyDescent="0.25">
      <c r="A12" s="1">
        <v>59</v>
      </c>
      <c r="B12">
        <v>3</v>
      </c>
      <c r="C12">
        <v>1</v>
      </c>
      <c r="D12">
        <v>4</v>
      </c>
      <c r="E12">
        <f>SUM(A12*B12*C12/144*D12)</f>
        <v>4.916666666666667</v>
      </c>
      <c r="F12">
        <f>INDEX(RATE!B:B,MATCH(A12,RATE!A:A,0))</f>
        <v>62</v>
      </c>
      <c r="G12" s="5">
        <f>SUM(E12*F12)</f>
        <v>304.83333333333337</v>
      </c>
    </row>
    <row r="13" spans="1:7" x14ac:dyDescent="0.25">
      <c r="A13" s="1">
        <v>6</v>
      </c>
      <c r="B13">
        <v>3</v>
      </c>
      <c r="C13">
        <v>3</v>
      </c>
      <c r="D13">
        <v>4</v>
      </c>
      <c r="E13">
        <f>SUM(A13*B13*C13/144*D13)</f>
        <v>1.5</v>
      </c>
      <c r="F13">
        <f>INDEX(RATE!B:B,MATCH(A13,RATE!A:A,0))</f>
        <v>42</v>
      </c>
      <c r="G13" s="5">
        <f>SUM(E13*F13)</f>
        <v>63</v>
      </c>
    </row>
    <row r="14" spans="1:7" x14ac:dyDescent="0.25">
      <c r="A14" s="1">
        <v>43</v>
      </c>
      <c r="B14">
        <v>3</v>
      </c>
      <c r="C14">
        <v>1</v>
      </c>
      <c r="D14">
        <v>2</v>
      </c>
      <c r="E14">
        <f>SUM(A14*B14*C14/144*D14)</f>
        <v>1.7916666666666667</v>
      </c>
      <c r="F14">
        <f>INDEX(RATE!B:B,MATCH(A14,RATE!A:A,0))</f>
        <v>52</v>
      </c>
      <c r="G14" s="5">
        <f>SUM(E14*F14)</f>
        <v>93.16666666666667</v>
      </c>
    </row>
    <row r="15" spans="1:7" x14ac:dyDescent="0.25">
      <c r="A15" s="1" t="s">
        <v>140</v>
      </c>
      <c r="E15">
        <f>SUM(E8:E14)</f>
        <v>45.21875</v>
      </c>
      <c r="G15" s="5">
        <f>SUM(G8:G14)</f>
        <v>2518.875</v>
      </c>
    </row>
    <row r="16" spans="1:7" x14ac:dyDescent="0.25">
      <c r="A16" s="1" t="s">
        <v>141</v>
      </c>
      <c r="E16" s="2">
        <f>+E15*0.2</f>
        <v>9.043750000000001</v>
      </c>
      <c r="G16" s="5">
        <f>+G15*0.2</f>
        <v>503.77500000000003</v>
      </c>
    </row>
    <row r="17" spans="1:7" x14ac:dyDescent="0.25">
      <c r="A17" s="1" t="s">
        <v>142</v>
      </c>
      <c r="E17" s="5">
        <f>SUM(E15:E16)</f>
        <v>54.262499999999996</v>
      </c>
      <c r="G17" s="5">
        <f>SUM(G15:G16)</f>
        <v>3022.65</v>
      </c>
    </row>
    <row r="18" spans="1:7" x14ac:dyDescent="0.25">
      <c r="A18" s="1" t="s">
        <v>11</v>
      </c>
      <c r="G18" s="5">
        <f>INDEX('PRODUCT LIST'!L:L,MATCH(F2,'PRODUCT LIST'!C:C,0))</f>
        <v>1000</v>
      </c>
    </row>
    <row r="19" spans="1:7" x14ac:dyDescent="0.25">
      <c r="A19" s="1" t="s">
        <v>143</v>
      </c>
      <c r="G19" s="5">
        <f>G17*8%</f>
        <v>241.812</v>
      </c>
    </row>
    <row r="20" spans="1:7" x14ac:dyDescent="0.25">
      <c r="A20" s="1" t="s">
        <v>139</v>
      </c>
      <c r="G20" s="5">
        <f>SUM(G17:G19)</f>
        <v>4264.462</v>
      </c>
    </row>
    <row r="21" spans="1:7" x14ac:dyDescent="0.25">
      <c r="A21" s="1" t="s">
        <v>144</v>
      </c>
      <c r="G21" s="5">
        <f>G20*10%</f>
        <v>426.4462000000001</v>
      </c>
    </row>
    <row r="22" spans="1:7" x14ac:dyDescent="0.25">
      <c r="A22" s="1" t="s">
        <v>145</v>
      </c>
      <c r="G22" s="5">
        <f>G21+G20</f>
        <v>4690.908200000001</v>
      </c>
    </row>
    <row r="23" spans="1:7" x14ac:dyDescent="0.25">
      <c r="A23" s="1" t="s">
        <v>146</v>
      </c>
      <c r="C23">
        <v>3</v>
      </c>
      <c r="D23" t="s">
        <v>147</v>
      </c>
      <c r="F23">
        <v>35</v>
      </c>
      <c r="G23" s="5">
        <f>C23*F23</f>
        <v>105</v>
      </c>
    </row>
    <row r="24" spans="1:7" x14ac:dyDescent="0.25">
      <c r="A24" s="1" t="s">
        <v>148</v>
      </c>
      <c r="C24">
        <v>3</v>
      </c>
      <c r="D24" t="s">
        <v>149</v>
      </c>
      <c r="F24">
        <v>180</v>
      </c>
      <c r="G24" s="5">
        <f>C24*F24</f>
        <v>540</v>
      </c>
    </row>
    <row r="25" spans="1:7" x14ac:dyDescent="0.25">
      <c r="A25" s="1" t="s">
        <v>150</v>
      </c>
      <c r="C25">
        <v>0</v>
      </c>
      <c r="D25" t="s">
        <v>151</v>
      </c>
      <c r="F25">
        <v>150</v>
      </c>
      <c r="G25" s="5">
        <f>C25*F25</f>
        <v>0</v>
      </c>
    </row>
    <row r="26" spans="1:7" x14ac:dyDescent="0.25">
      <c r="A26" s="1" t="s">
        <v>152</v>
      </c>
      <c r="C26">
        <v>0</v>
      </c>
      <c r="D26" t="s">
        <v>153</v>
      </c>
      <c r="F26">
        <v>2</v>
      </c>
      <c r="G26" s="5">
        <f>C26*F26</f>
        <v>0</v>
      </c>
    </row>
    <row r="27" spans="1:7" x14ac:dyDescent="0.25">
      <c r="A27" s="1" t="s">
        <v>154</v>
      </c>
      <c r="D27" t="s">
        <v>155</v>
      </c>
      <c r="E27" s="5">
        <f>E6</f>
        <v>0.802125</v>
      </c>
      <c r="F27">
        <f>65/E27</f>
        <v>81.03475144148356</v>
      </c>
      <c r="G27" s="5">
        <f>350000/F27</f>
        <v>4319.134615384615</v>
      </c>
    </row>
    <row r="28" spans="1:9" x14ac:dyDescent="0.25">
      <c r="A28" s="1" t="s">
        <v>139</v>
      </c>
      <c r="G28" s="5">
        <f>SUM(G22:G27)</f>
        <v>9655.042815384615</v>
      </c>
      <c r="H28" s="5">
        <f>+G28/78</f>
        <v>123.78260019723865</v>
      </c>
      <c r="I28" t="s">
        <v>156</v>
      </c>
    </row>
    <row r="29" spans="1:7" x14ac:dyDescent="0.25">
      <c r="A29" s="1" t="s">
        <v>157</v>
      </c>
      <c r="G29" s="5">
        <f>G28*15%</f>
        <v>1448.2564223076922</v>
      </c>
    </row>
    <row r="30" spans="1:7" x14ac:dyDescent="0.25">
      <c r="A30" s="1" t="s">
        <v>158</v>
      </c>
      <c r="G30" s="5">
        <f>G28*15%</f>
        <v>1448.2564223076922</v>
      </c>
    </row>
    <row r="31" spans="1:8" x14ac:dyDescent="0.25">
      <c r="A31" s="1" t="s">
        <v>139</v>
      </c>
      <c r="G31" s="5">
        <f>SUM(G28:G30)</f>
        <v>12551.55566</v>
      </c>
      <c r="H31" s="5">
        <f>+G31/78</f>
        <v>160.91738025641027</v>
      </c>
    </row>
    <row r="32" spans="1:7" x14ac:dyDescent="0.25">
      <c r="A32" s="1" t="s">
        <v>159</v>
      </c>
      <c r="G32" s="5">
        <f>G31*0.2</f>
        <v>2510.3111320000003</v>
      </c>
    </row>
    <row r="33" spans="1:9" x14ac:dyDescent="0.25">
      <c r="A33" s="1" t="s">
        <v>160</v>
      </c>
      <c r="G33" s="4">
        <f>G31+G32</f>
        <v>15061.866792</v>
      </c>
      <c r="H33" s="5">
        <f>+G33/78</f>
        <v>193.1008563076923</v>
      </c>
      <c r="I33" t="s">
        <v>156</v>
      </c>
    </row>
    <row r="34" spans="1:9" x14ac:dyDescent="0.25">
      <c r="A34" s="1" t="s">
        <v>161</v>
      </c>
      <c r="G34" s="4">
        <f>G20+G23+G24+G25+G26+G27+G29+G32</f>
        <v>13187.164169692309</v>
      </c>
      <c r="H34" s="5">
        <f>+G34/78</f>
        <v>169.06620730374755</v>
      </c>
      <c r="I34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LIST'!D20</f>
        <v>COAT RACK 6 HOOKS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LIST'!C20</f>
        <v>DF20019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100X8X30</v>
      </c>
      <c r="C4"/>
      <c r="D4"/>
    </row>
    <row r="5" spans="1:4" x14ac:dyDescent="0.25">
      <c r="A5" s="1" t="s">
        <v>6</v>
      </c>
      <c r="B5" t="str">
        <f>INDEX('PRODUCT LIST'!G:G,MATCH(F2,'PRODUCT LIST'!C:C,0))</f>
        <v>105X13X35</v>
      </c>
      <c r="C5"/>
      <c r="D5"/>
    </row>
    <row r="6" spans="1:7" x14ac:dyDescent="0.25">
      <c r="A6" s="1" t="s">
        <v>7</v>
      </c>
      <c r="B6">
        <v>105</v>
      </c>
      <c r="C6">
        <v>13</v>
      </c>
      <c r="D6">
        <v>35</v>
      </c>
      <c r="E6" s="2">
        <f>B6*C6*D6/1000000</f>
        <v>0.047775</v>
      </c>
      <c r="F6" s="4">
        <f>65/E6</f>
        <v>1360.544217687075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40</v>
      </c>
      <c r="B8">
        <v>4</v>
      </c>
      <c r="C8">
        <v>1</v>
      </c>
      <c r="D8">
        <v>2</v>
      </c>
      <c r="E8">
        <f>SUM(A8*B8*C8/144*D8)</f>
        <v>2.2222222222222223</v>
      </c>
      <c r="F8">
        <f>INDEX(RATE!B:B,MATCH(A8,RATE!A:A,0))</f>
        <v>52</v>
      </c>
      <c r="G8" s="5">
        <f>SUM(E8*F8)</f>
        <v>115.55555555555556</v>
      </c>
    </row>
    <row r="9" spans="1:7" x14ac:dyDescent="0.25">
      <c r="A9" s="1">
        <v>13</v>
      </c>
      <c r="B9">
        <v>4</v>
      </c>
      <c r="C9">
        <v>1</v>
      </c>
      <c r="D9">
        <v>2</v>
      </c>
      <c r="E9">
        <f>SUM(A9*B9*C9/144*D9)</f>
        <v>0.7222222222222222</v>
      </c>
      <c r="F9">
        <f>INDEX(RATE!B:B,MATCH(A9,RATE!A:A,0))</f>
        <v>42</v>
      </c>
      <c r="G9" s="5">
        <f>SUM(E9*F9)</f>
        <v>30.333333333333332</v>
      </c>
    </row>
    <row r="10" spans="1:7" x14ac:dyDescent="0.25">
      <c r="A10" s="1" t="s">
        <v>140</v>
      </c>
      <c r="E10">
        <f>SUM(E8:E9)</f>
        <v>2.9444444444444446</v>
      </c>
      <c r="G10" s="5">
        <f>SUM(G8:G9)</f>
        <v>145.88888888888889</v>
      </c>
    </row>
    <row r="11" spans="1:7" x14ac:dyDescent="0.25">
      <c r="A11" s="1" t="s">
        <v>141</v>
      </c>
      <c r="E11" s="2">
        <f>+E10*0.2</f>
        <v>0.5888888888888889</v>
      </c>
      <c r="G11" s="5">
        <f>+G10*0.2</f>
        <v>29.177777777777777</v>
      </c>
    </row>
    <row r="12" spans="1:7" x14ac:dyDescent="0.25">
      <c r="A12" s="1" t="s">
        <v>142</v>
      </c>
      <c r="E12" s="5">
        <f>SUM(E10:E11)</f>
        <v>3.5333333333333337</v>
      </c>
      <c r="G12" s="5">
        <f>SUM(G10:G11)</f>
        <v>175.06666666666666</v>
      </c>
    </row>
    <row r="13" spans="1:7" x14ac:dyDescent="0.25">
      <c r="A13" s="1" t="s">
        <v>11</v>
      </c>
      <c r="G13" s="5">
        <f>INDEX('PRODUCT LIST'!L:L,MATCH(F2,'PRODUCT LIST'!C:C,0))</f>
        <v>150</v>
      </c>
    </row>
    <row r="14" spans="1:7" x14ac:dyDescent="0.25">
      <c r="A14" s="1" t="s">
        <v>143</v>
      </c>
      <c r="G14" s="5">
        <f>G12*8%</f>
        <v>14.005333333333333</v>
      </c>
    </row>
    <row r="15" spans="1:7" x14ac:dyDescent="0.25">
      <c r="A15" s="1" t="s">
        <v>139</v>
      </c>
      <c r="G15" s="5">
        <f>SUM(G12:G14)</f>
        <v>339.072</v>
      </c>
    </row>
    <row r="16" spans="1:7" x14ac:dyDescent="0.25">
      <c r="A16" s="1" t="s">
        <v>144</v>
      </c>
      <c r="G16" s="5">
        <f>G15*10%</f>
        <v>33.9072</v>
      </c>
    </row>
    <row r="17" spans="1:7" x14ac:dyDescent="0.25">
      <c r="A17" s="1" t="s">
        <v>145</v>
      </c>
      <c r="G17" s="5">
        <f>G16+G15</f>
        <v>372.9792</v>
      </c>
    </row>
    <row r="18" spans="1:7" x14ac:dyDescent="0.25">
      <c r="A18" s="1" t="s">
        <v>146</v>
      </c>
      <c r="C18">
        <v>0</v>
      </c>
      <c r="D18" t="s">
        <v>147</v>
      </c>
      <c r="F18">
        <v>35</v>
      </c>
      <c r="G18" s="5">
        <f>C18*F18</f>
        <v>0</v>
      </c>
    </row>
    <row r="19" spans="1:7" x14ac:dyDescent="0.25">
      <c r="A19" s="1" t="s">
        <v>148</v>
      </c>
      <c r="C19">
        <v>0</v>
      </c>
      <c r="D19" t="s">
        <v>149</v>
      </c>
      <c r="F19">
        <v>180</v>
      </c>
      <c r="G19" s="5">
        <f>C19*F19</f>
        <v>0</v>
      </c>
    </row>
    <row r="20" spans="1:7" x14ac:dyDescent="0.25">
      <c r="A20" s="1" t="s">
        <v>150</v>
      </c>
      <c r="C20">
        <v>1</v>
      </c>
      <c r="D20" t="s">
        <v>151</v>
      </c>
      <c r="F20">
        <v>150</v>
      </c>
      <c r="G20" s="5">
        <f>C20*F20</f>
        <v>150</v>
      </c>
    </row>
    <row r="21" spans="1:7" x14ac:dyDescent="0.25">
      <c r="A21" s="1" t="s">
        <v>152</v>
      </c>
      <c r="C21">
        <v>0</v>
      </c>
      <c r="D21" t="s">
        <v>153</v>
      </c>
      <c r="F21">
        <v>2</v>
      </c>
      <c r="G21" s="5">
        <f>C21*F21</f>
        <v>0</v>
      </c>
    </row>
    <row r="22" spans="1:7" x14ac:dyDescent="0.25">
      <c r="A22" s="1" t="s">
        <v>154</v>
      </c>
      <c r="D22" t="s">
        <v>155</v>
      </c>
      <c r="E22" s="5">
        <f>E6</f>
        <v>0.047775</v>
      </c>
      <c r="F22">
        <f>65/E22</f>
        <v>1360.544217687075</v>
      </c>
      <c r="G22" s="5">
        <f>350000/F22</f>
        <v>257.25</v>
      </c>
    </row>
    <row r="23" spans="1:9" x14ac:dyDescent="0.25">
      <c r="A23" s="1" t="s">
        <v>139</v>
      </c>
      <c r="G23" s="5">
        <f>SUM(G17:G22)</f>
        <v>780.2292</v>
      </c>
      <c r="H23" s="5">
        <f>+G23/78</f>
        <v>10.002938461538461</v>
      </c>
      <c r="I23" t="s">
        <v>156</v>
      </c>
    </row>
    <row r="24" spans="1:7" x14ac:dyDescent="0.25">
      <c r="A24" s="1" t="s">
        <v>157</v>
      </c>
      <c r="G24" s="5">
        <f>G23*15%</f>
        <v>117.03438</v>
      </c>
    </row>
    <row r="25" spans="1:7" x14ac:dyDescent="0.25">
      <c r="A25" s="1" t="s">
        <v>158</v>
      </c>
      <c r="G25" s="5">
        <f>G23*15%</f>
        <v>117.03438</v>
      </c>
    </row>
    <row r="26" spans="1:8" x14ac:dyDescent="0.25">
      <c r="A26" s="1" t="s">
        <v>139</v>
      </c>
      <c r="G26" s="5">
        <f>SUM(G23:G25)</f>
        <v>1014.29796</v>
      </c>
      <c r="H26" s="5">
        <f>+G26/78</f>
        <v>13.00382</v>
      </c>
    </row>
    <row r="27" spans="1:7" x14ac:dyDescent="0.25">
      <c r="A27" s="1" t="s">
        <v>159</v>
      </c>
      <c r="G27" s="5">
        <f>G26*0.2</f>
        <v>202.85959200000002</v>
      </c>
    </row>
    <row r="28" spans="1:9" x14ac:dyDescent="0.25">
      <c r="A28" s="1" t="s">
        <v>160</v>
      </c>
      <c r="G28" s="4">
        <f>G26+G27</f>
        <v>1217.1575520000001</v>
      </c>
      <c r="H28" s="5">
        <f>+G28/78</f>
        <v>15.604584000000001</v>
      </c>
      <c r="I28" t="s">
        <v>156</v>
      </c>
    </row>
    <row r="29" spans="1:9" x14ac:dyDescent="0.25">
      <c r="A29" s="1" t="s">
        <v>161</v>
      </c>
      <c r="G29" s="4">
        <f>G15+G18+G19+G20+G21+G22+G24+G27</f>
        <v>1066.215972</v>
      </c>
      <c r="H29" s="5">
        <f>+G29/78</f>
        <v>13.669435538461538</v>
      </c>
      <c r="I29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LIST'!D21</f>
        <v>HERRINGBONE COFFEE TABLE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LIST'!C21</f>
        <v>DF20020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110X60X40</v>
      </c>
      <c r="C4"/>
      <c r="D4"/>
    </row>
    <row r="5" spans="1:4" x14ac:dyDescent="0.25">
      <c r="A5" s="1" t="s">
        <v>6</v>
      </c>
      <c r="B5" t="str">
        <f>INDEX('PRODUCT LIST'!G:G,MATCH(F2,'PRODUCT LIST'!C:C,0))</f>
        <v>115X65X45</v>
      </c>
      <c r="C5"/>
      <c r="D5"/>
    </row>
    <row r="6" spans="1:7" x14ac:dyDescent="0.25">
      <c r="A6" s="1" t="s">
        <v>7</v>
      </c>
      <c r="B6">
        <v>115</v>
      </c>
      <c r="C6">
        <v>65</v>
      </c>
      <c r="D6">
        <v>45</v>
      </c>
      <c r="E6" s="2">
        <f>B6*C6*D6/1000000</f>
        <v>0.336375</v>
      </c>
      <c r="F6" s="4">
        <f>65/E6</f>
        <v>193.23671497584542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45</v>
      </c>
      <c r="B8">
        <v>26</v>
      </c>
      <c r="C8">
        <v>1</v>
      </c>
      <c r="D8">
        <v>1</v>
      </c>
      <c r="E8">
        <f>SUM(A8*B8*C8/144*D8)</f>
        <v>8.125</v>
      </c>
      <c r="F8">
        <f>INDEX(RATE!B:B,MATCH(A8,RATE!A:A,0))</f>
        <v>52</v>
      </c>
      <c r="G8" s="5">
        <f>SUM(E8*F8)</f>
        <v>422.5</v>
      </c>
    </row>
    <row r="9" spans="1:7" x14ac:dyDescent="0.25">
      <c r="A9" s="1">
        <v>16</v>
      </c>
      <c r="B9">
        <v>3</v>
      </c>
      <c r="C9">
        <v>3</v>
      </c>
      <c r="D9">
        <v>4</v>
      </c>
      <c r="E9">
        <f>SUM(A9*B9*C9/144*D9)</f>
        <v>4</v>
      </c>
      <c r="F9">
        <f>INDEX(RATE!B:B,MATCH(A9,RATE!A:A,0))</f>
        <v>42</v>
      </c>
      <c r="G9" s="5">
        <f>SUM(E9*F9)</f>
        <v>168</v>
      </c>
    </row>
    <row r="10" spans="1:7" x14ac:dyDescent="0.25">
      <c r="A10" s="1">
        <v>43</v>
      </c>
      <c r="B10">
        <v>4</v>
      </c>
      <c r="C10">
        <v>1</v>
      </c>
      <c r="D10">
        <v>2</v>
      </c>
      <c r="E10">
        <f>SUM(A10*B10*C10/144*D10)</f>
        <v>2.388888888888889</v>
      </c>
      <c r="F10">
        <f>INDEX(RATE!B:B,MATCH(A10,RATE!A:A,0))</f>
        <v>52</v>
      </c>
      <c r="G10" s="5">
        <f>SUM(E10*F10)</f>
        <v>124.22222222222221</v>
      </c>
    </row>
    <row r="11" spans="1:7" x14ac:dyDescent="0.25">
      <c r="A11" s="1">
        <v>24</v>
      </c>
      <c r="B11">
        <v>4</v>
      </c>
      <c r="C11">
        <v>1</v>
      </c>
      <c r="D11">
        <v>2</v>
      </c>
      <c r="E11">
        <f>SUM(A11*B11*C11/144*D11)</f>
        <v>1.3333333333333333</v>
      </c>
      <c r="F11">
        <f>INDEX(RATE!B:B,MATCH(A11,RATE!A:A,0))</f>
        <v>42</v>
      </c>
      <c r="G11" s="5">
        <f>SUM(E11*F11)</f>
        <v>56</v>
      </c>
    </row>
    <row r="12" spans="1:7" x14ac:dyDescent="0.25">
      <c r="A12" s="1" t="s">
        <v>140</v>
      </c>
      <c r="E12">
        <f>SUM(E8:E11)</f>
        <v>15.847222222222223</v>
      </c>
      <c r="G12" s="5">
        <f>SUM(G8:G11)</f>
        <v>770.7222222222222</v>
      </c>
    </row>
    <row r="13" spans="1:7" x14ac:dyDescent="0.25">
      <c r="A13" s="1" t="s">
        <v>141</v>
      </c>
      <c r="E13" s="2">
        <f>+E12*0.2</f>
        <v>3.1694444444444447</v>
      </c>
      <c r="G13" s="5">
        <f>+G12*0.2</f>
        <v>154.14444444444445</v>
      </c>
    </row>
    <row r="14" spans="1:7" x14ac:dyDescent="0.25">
      <c r="A14" s="1" t="s">
        <v>142</v>
      </c>
      <c r="E14" s="5">
        <f>SUM(E12:E13)</f>
        <v>19.016666666666666</v>
      </c>
      <c r="G14" s="5">
        <f>SUM(G12:G13)</f>
        <v>924.8666666666666</v>
      </c>
    </row>
    <row r="15" spans="1:7" x14ac:dyDescent="0.25">
      <c r="A15" s="1" t="s">
        <v>11</v>
      </c>
      <c r="G15" s="5">
        <f>INDEX('PRODUCT LIST'!L:L,MATCH(F2,'PRODUCT LIST'!C:C,0))</f>
        <v>700</v>
      </c>
    </row>
    <row r="16" spans="1:7" x14ac:dyDescent="0.25">
      <c r="A16" s="1" t="s">
        <v>143</v>
      </c>
      <c r="G16" s="5">
        <f>G14*8%</f>
        <v>73.98933333333332</v>
      </c>
    </row>
    <row r="17" spans="1:7" x14ac:dyDescent="0.25">
      <c r="A17" s="1" t="s">
        <v>139</v>
      </c>
      <c r="G17" s="5">
        <f>SUM(G14:G16)</f>
        <v>1698.8559999999998</v>
      </c>
    </row>
    <row r="18" spans="1:7" x14ac:dyDescent="0.25">
      <c r="A18" s="1" t="s">
        <v>144</v>
      </c>
      <c r="G18" s="5">
        <f>G17*10%</f>
        <v>169.88559999999998</v>
      </c>
    </row>
    <row r="19" spans="1:7" x14ac:dyDescent="0.25">
      <c r="A19" s="1" t="s">
        <v>145</v>
      </c>
      <c r="G19" s="5">
        <f>G18+G17</f>
        <v>1868.7415999999998</v>
      </c>
    </row>
    <row r="20" spans="1:7" x14ac:dyDescent="0.25">
      <c r="A20" s="1" t="s">
        <v>146</v>
      </c>
      <c r="C20">
        <v>0</v>
      </c>
      <c r="D20" t="s">
        <v>147</v>
      </c>
      <c r="F20">
        <v>35</v>
      </c>
      <c r="G20" s="5">
        <f>C20*F20</f>
        <v>0</v>
      </c>
    </row>
    <row r="21" spans="1:7" x14ac:dyDescent="0.25">
      <c r="A21" s="1" t="s">
        <v>148</v>
      </c>
      <c r="C21">
        <v>0</v>
      </c>
      <c r="D21" t="s">
        <v>149</v>
      </c>
      <c r="F21">
        <v>180</v>
      </c>
      <c r="G21" s="5">
        <f>C21*F21</f>
        <v>0</v>
      </c>
    </row>
    <row r="22" spans="1:7" x14ac:dyDescent="0.25">
      <c r="A22" s="1" t="s">
        <v>150</v>
      </c>
      <c r="C22">
        <v>0</v>
      </c>
      <c r="D22" t="s">
        <v>151</v>
      </c>
      <c r="F22">
        <v>150</v>
      </c>
      <c r="G22" s="5">
        <f>C22*F22</f>
        <v>0</v>
      </c>
    </row>
    <row r="23" spans="1:7" x14ac:dyDescent="0.25">
      <c r="A23" s="1" t="s">
        <v>152</v>
      </c>
      <c r="C23">
        <v>60</v>
      </c>
      <c r="D23" t="s">
        <v>153</v>
      </c>
      <c r="F23">
        <v>2</v>
      </c>
      <c r="G23" s="5">
        <f>C23*F23</f>
        <v>120</v>
      </c>
    </row>
    <row r="24" spans="1:7" x14ac:dyDescent="0.25">
      <c r="A24" s="1" t="s">
        <v>154</v>
      </c>
      <c r="D24" t="s">
        <v>155</v>
      </c>
      <c r="E24" s="5">
        <f>E6</f>
        <v>0.336375</v>
      </c>
      <c r="F24">
        <f>65/E24</f>
        <v>193.23671497584542</v>
      </c>
      <c r="G24" s="5">
        <f>350000/F24</f>
        <v>1811.25</v>
      </c>
    </row>
    <row r="25" spans="1:9" x14ac:dyDescent="0.25">
      <c r="A25" s="1" t="s">
        <v>139</v>
      </c>
      <c r="G25" s="5">
        <f>SUM(G19:G24)</f>
        <v>3799.9916</v>
      </c>
      <c r="H25" s="5">
        <f>+G25/78</f>
        <v>48.71784102564102</v>
      </c>
      <c r="I25" t="s">
        <v>156</v>
      </c>
    </row>
    <row r="26" spans="1:7" x14ac:dyDescent="0.25">
      <c r="A26" s="1" t="s">
        <v>157</v>
      </c>
      <c r="G26" s="5">
        <f>G25*15%</f>
        <v>569.99874</v>
      </c>
    </row>
    <row r="27" spans="1:7" x14ac:dyDescent="0.25">
      <c r="A27" s="1" t="s">
        <v>158</v>
      </c>
      <c r="G27" s="5">
        <f>G25*15%</f>
        <v>569.99874</v>
      </c>
    </row>
    <row r="28" spans="1:8" x14ac:dyDescent="0.25">
      <c r="A28" s="1" t="s">
        <v>139</v>
      </c>
      <c r="G28" s="5">
        <f>SUM(G25:G27)</f>
        <v>4939.989079999999</v>
      </c>
      <c r="H28" s="5">
        <f>+G28/78</f>
        <v>63.33319333333333</v>
      </c>
    </row>
    <row r="29" spans="1:7" x14ac:dyDescent="0.25">
      <c r="A29" s="1" t="s">
        <v>159</v>
      </c>
      <c r="G29" s="5">
        <f>G28*0.2</f>
        <v>987.997816</v>
      </c>
    </row>
    <row r="30" spans="1:9" x14ac:dyDescent="0.25">
      <c r="A30" s="1" t="s">
        <v>160</v>
      </c>
      <c r="G30" s="4">
        <f>G28+G29</f>
        <v>5927.986895999999</v>
      </c>
      <c r="H30" s="5">
        <f>+G30/78</f>
        <v>75.999832</v>
      </c>
      <c r="I30" t="s">
        <v>156</v>
      </c>
    </row>
    <row r="31" spans="1:9" x14ac:dyDescent="0.25">
      <c r="A31" s="1" t="s">
        <v>161</v>
      </c>
      <c r="G31" s="4">
        <f>G17+G20+G21+G22+G23+G24+G26+G29</f>
        <v>5188.102556</v>
      </c>
      <c r="H31" s="5">
        <f>+G31/78</f>
        <v>66.51413533333333</v>
      </c>
      <c r="I31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LIST'!D22</f>
        <v>TURNED LEG SIDE TABLE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LIST'!C22</f>
        <v>DF20021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45X45X55</v>
      </c>
      <c r="C4"/>
      <c r="D4"/>
    </row>
    <row r="5" spans="1:4" x14ac:dyDescent="0.25">
      <c r="A5" s="1" t="s">
        <v>6</v>
      </c>
      <c r="B5" t="str">
        <f>INDEX('PRODUCT LIST'!G:G,MATCH(F2,'PRODUCT LIST'!C:C,0))</f>
        <v>50X50X60</v>
      </c>
      <c r="C5"/>
      <c r="D5"/>
    </row>
    <row r="6" spans="1:7" x14ac:dyDescent="0.25">
      <c r="A6" s="1" t="s">
        <v>7</v>
      </c>
      <c r="B6">
        <v>50</v>
      </c>
      <c r="C6">
        <v>50</v>
      </c>
      <c r="D6">
        <v>60</v>
      </c>
      <c r="E6" s="2">
        <f>B6*C6*D6/1000000</f>
        <v>0.15</v>
      </c>
      <c r="F6" s="4">
        <f>65/E6</f>
        <v>433.33333333333337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20</v>
      </c>
      <c r="B8">
        <v>20</v>
      </c>
      <c r="C8">
        <v>1</v>
      </c>
      <c r="D8">
        <v>1</v>
      </c>
      <c r="E8">
        <f>SUM(A8*B8*C8/144*D8)</f>
        <v>2.7777777777777777</v>
      </c>
      <c r="F8">
        <f>INDEX(RATE!B:B,MATCH(A8,RATE!A:A,0))</f>
        <v>42</v>
      </c>
      <c r="G8" s="5">
        <f>SUM(E8*F8)</f>
        <v>116.66666666666666</v>
      </c>
    </row>
    <row r="9" spans="1:7" x14ac:dyDescent="0.25">
      <c r="A9" s="1">
        <v>22</v>
      </c>
      <c r="B9">
        <v>3</v>
      </c>
      <c r="C9">
        <v>3</v>
      </c>
      <c r="D9">
        <v>4</v>
      </c>
      <c r="E9">
        <f>SUM(A9*B9*C9/144*D9)</f>
        <v>5.5</v>
      </c>
      <c r="F9">
        <f>INDEX(RATE!B:B,MATCH(A9,RATE!A:A,0))</f>
        <v>42</v>
      </c>
      <c r="G9" s="5">
        <f>SUM(E9*F9)</f>
        <v>231</v>
      </c>
    </row>
    <row r="10" spans="1:7" x14ac:dyDescent="0.25">
      <c r="A10" s="1">
        <v>18</v>
      </c>
      <c r="B10">
        <v>4</v>
      </c>
      <c r="C10">
        <v>1</v>
      </c>
      <c r="D10">
        <v>2</v>
      </c>
      <c r="E10">
        <f>SUM(A10*B10*C10/144*D10)</f>
        <v>1</v>
      </c>
      <c r="F10">
        <f>INDEX(RATE!B:B,MATCH(A10,RATE!A:A,0))</f>
        <v>42</v>
      </c>
      <c r="G10" s="5">
        <f>SUM(E10*F10)</f>
        <v>42</v>
      </c>
    </row>
    <row r="11" spans="1:7" x14ac:dyDescent="0.25">
      <c r="A11" s="1">
        <v>18</v>
      </c>
      <c r="B11">
        <v>4</v>
      </c>
      <c r="C11">
        <v>1</v>
      </c>
      <c r="D11">
        <v>2</v>
      </c>
      <c r="E11">
        <f>SUM(A11*B11*C11/144*D11)</f>
        <v>1</v>
      </c>
      <c r="F11">
        <f>INDEX(RATE!B:B,MATCH(A11,RATE!A:A,0))</f>
        <v>42</v>
      </c>
      <c r="G11" s="5">
        <f>SUM(E11*F11)</f>
        <v>42</v>
      </c>
    </row>
    <row r="12" spans="1:7" x14ac:dyDescent="0.25">
      <c r="A12" s="1" t="s">
        <v>140</v>
      </c>
      <c r="E12">
        <f>SUM(E8:E11)</f>
        <v>10.277777777777779</v>
      </c>
      <c r="G12" s="5">
        <f>SUM(G8:G11)</f>
        <v>431.66666666666663</v>
      </c>
    </row>
    <row r="13" spans="1:7" x14ac:dyDescent="0.25">
      <c r="A13" s="1" t="s">
        <v>141</v>
      </c>
      <c r="E13" s="2">
        <f>+E12*0.2</f>
        <v>2.055555555555556</v>
      </c>
      <c r="G13" s="5">
        <f>+G12*0.2</f>
        <v>86.33333333333333</v>
      </c>
    </row>
    <row r="14" spans="1:7" x14ac:dyDescent="0.25">
      <c r="A14" s="1" t="s">
        <v>142</v>
      </c>
      <c r="E14" s="5">
        <f>SUM(E12:E13)</f>
        <v>12.333333333333334</v>
      </c>
      <c r="G14" s="5">
        <f>SUM(G12:G13)</f>
        <v>518</v>
      </c>
    </row>
    <row r="15" spans="1:7" x14ac:dyDescent="0.25">
      <c r="A15" s="1" t="s">
        <v>11</v>
      </c>
      <c r="G15" s="5">
        <f>INDEX('PRODUCT LIST'!L:L,MATCH(F2,'PRODUCT LIST'!C:C,0))</f>
        <v>320</v>
      </c>
    </row>
    <row r="16" spans="1:7" x14ac:dyDescent="0.25">
      <c r="A16" s="1" t="s">
        <v>143</v>
      </c>
      <c r="G16" s="5">
        <f>G14*8%</f>
        <v>41.44</v>
      </c>
    </row>
    <row r="17" spans="1:7" x14ac:dyDescent="0.25">
      <c r="A17" s="1" t="s">
        <v>139</v>
      </c>
      <c r="G17" s="5">
        <f>SUM(G14:G16)</f>
        <v>879.44</v>
      </c>
    </row>
    <row r="18" spans="1:7" x14ac:dyDescent="0.25">
      <c r="A18" s="1" t="s">
        <v>144</v>
      </c>
      <c r="G18" s="5">
        <f>G17*10%</f>
        <v>87.94400000000002</v>
      </c>
    </row>
    <row r="19" spans="1:7" x14ac:dyDescent="0.25">
      <c r="A19" s="1" t="s">
        <v>145</v>
      </c>
      <c r="G19" s="5">
        <f>G18+G17</f>
        <v>967.384</v>
      </c>
    </row>
    <row r="20" spans="1:7" x14ac:dyDescent="0.25">
      <c r="A20" s="1" t="s">
        <v>146</v>
      </c>
      <c r="C20">
        <v>0</v>
      </c>
      <c r="D20" t="s">
        <v>147</v>
      </c>
      <c r="F20">
        <v>35</v>
      </c>
      <c r="G20" s="5">
        <f>C20*F20</f>
        <v>0</v>
      </c>
    </row>
    <row r="21" spans="1:7" x14ac:dyDescent="0.25">
      <c r="A21" s="1" t="s">
        <v>148</v>
      </c>
      <c r="C21">
        <v>0</v>
      </c>
      <c r="D21" t="s">
        <v>149</v>
      </c>
      <c r="F21">
        <v>180</v>
      </c>
      <c r="G21" s="5">
        <f>C21*F21</f>
        <v>0</v>
      </c>
    </row>
    <row r="22" spans="1:7" x14ac:dyDescent="0.25">
      <c r="A22" s="1" t="s">
        <v>150</v>
      </c>
      <c r="C22">
        <v>0</v>
      </c>
      <c r="D22" t="s">
        <v>151</v>
      </c>
      <c r="F22">
        <v>150</v>
      </c>
      <c r="G22" s="5">
        <f>C22*F22</f>
        <v>0</v>
      </c>
    </row>
    <row r="23" spans="1:7" x14ac:dyDescent="0.25">
      <c r="A23" s="1" t="s">
        <v>152</v>
      </c>
      <c r="C23">
        <v>0</v>
      </c>
      <c r="D23" t="s">
        <v>153</v>
      </c>
      <c r="F23">
        <v>2</v>
      </c>
      <c r="G23" s="5">
        <f>C23*F23</f>
        <v>0</v>
      </c>
    </row>
    <row r="24" spans="1:7" x14ac:dyDescent="0.25">
      <c r="A24" s="1" t="s">
        <v>162</v>
      </c>
      <c r="C24">
        <v>4</v>
      </c>
      <c r="D24" t="s">
        <v>147</v>
      </c>
      <c r="F24">
        <v>60</v>
      </c>
      <c r="G24" s="5">
        <f>C24*F24</f>
        <v>240</v>
      </c>
    </row>
    <row r="25" spans="1:7" x14ac:dyDescent="0.25">
      <c r="A25" s="1" t="s">
        <v>154</v>
      </c>
      <c r="D25" t="s">
        <v>155</v>
      </c>
      <c r="E25" s="5">
        <f>E6</f>
        <v>0.15</v>
      </c>
      <c r="F25">
        <f>65/E25</f>
        <v>433.33333333333337</v>
      </c>
      <c r="G25" s="5">
        <f>350000/F25</f>
        <v>807.6923076923076</v>
      </c>
    </row>
    <row r="26" spans="1:9" x14ac:dyDescent="0.25">
      <c r="A26" s="1" t="s">
        <v>139</v>
      </c>
      <c r="G26" s="5">
        <f>SUM(G19:G25)</f>
        <v>2015.0763076923076</v>
      </c>
      <c r="H26" s="5">
        <f>+G26/78</f>
        <v>25.834311637080866</v>
      </c>
      <c r="I26" t="s">
        <v>156</v>
      </c>
    </row>
    <row r="27" spans="1:7" x14ac:dyDescent="0.25">
      <c r="A27" s="1" t="s">
        <v>157</v>
      </c>
      <c r="G27" s="5">
        <f>G26*15%</f>
        <v>302.2614461538461</v>
      </c>
    </row>
    <row r="28" spans="1:7" x14ac:dyDescent="0.25">
      <c r="A28" s="1" t="s">
        <v>158</v>
      </c>
      <c r="G28" s="5">
        <f>G26*15%</f>
        <v>302.2614461538461</v>
      </c>
    </row>
    <row r="29" spans="1:8" x14ac:dyDescent="0.25">
      <c r="A29" s="1" t="s">
        <v>139</v>
      </c>
      <c r="G29" s="5">
        <f>SUM(G26:G28)</f>
        <v>2619.5991999999997</v>
      </c>
      <c r="H29" s="5">
        <f>+G29/78</f>
        <v>33.584605128205126</v>
      </c>
    </row>
    <row r="30" spans="1:7" x14ac:dyDescent="0.25">
      <c r="A30" s="1" t="s">
        <v>159</v>
      </c>
      <c r="G30" s="5">
        <f>G29*0.2</f>
        <v>523.9198399999999</v>
      </c>
    </row>
    <row r="31" spans="1:9" x14ac:dyDescent="0.25">
      <c r="A31" s="1" t="s">
        <v>160</v>
      </c>
      <c r="G31" s="4">
        <f>G29+G30</f>
        <v>3143.5190399999997</v>
      </c>
      <c r="H31" s="5">
        <f>+G31/78</f>
        <v>40.30152615384615</v>
      </c>
      <c r="I31" t="s">
        <v>156</v>
      </c>
    </row>
    <row r="32" spans="1:9" x14ac:dyDescent="0.25">
      <c r="A32" s="1" t="s">
        <v>161</v>
      </c>
      <c r="G32" s="4">
        <f>G17+G20+G21+G22+G23+G24+G25+G27+G30</f>
        <v>2753.3135938461537</v>
      </c>
      <c r="H32" s="5">
        <f>+G32/78</f>
        <v>35.298892228796845</v>
      </c>
      <c r="I32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LIST'!D23</f>
        <v>WINE RACK 12 BOTTLE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LIST'!C23</f>
        <v>DF20022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45X35X90</v>
      </c>
      <c r="C4"/>
      <c r="D4"/>
    </row>
    <row r="5" spans="1:4" x14ac:dyDescent="0.25">
      <c r="A5" s="1" t="s">
        <v>6</v>
      </c>
      <c r="B5" t="str">
        <f>INDEX('PRODUCT LIST'!G:G,MATCH(F2,'PRODUCT LIST'!C:C,0))</f>
        <v>50X40X95</v>
      </c>
      <c r="C5"/>
      <c r="D5"/>
    </row>
    <row r="6" spans="1:7" x14ac:dyDescent="0.25">
      <c r="A6" s="1" t="s">
        <v>7</v>
      </c>
      <c r="B6">
        <v>50</v>
      </c>
      <c r="C6">
        <v>40</v>
      </c>
      <c r="D6">
        <v>95</v>
      </c>
      <c r="E6" s="2">
        <f>B6*C6*D6/1000000</f>
        <v>0.19</v>
      </c>
      <c r="F6" s="4">
        <f>65/E6</f>
        <v>342.10526315789474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20</v>
      </c>
      <c r="B8">
        <v>15</v>
      </c>
      <c r="C8">
        <v>1</v>
      </c>
      <c r="D8">
        <v>1</v>
      </c>
      <c r="E8">
        <f>SUM(A8*B8*C8/144*D8)</f>
        <v>2.0833333333333335</v>
      </c>
      <c r="F8">
        <f>INDEX(RATE!B:B,MATCH(A8,RATE!A:A,0))</f>
        <v>42</v>
      </c>
      <c r="G8" s="5">
        <f>SUM(E8*F8)</f>
        <v>87.5</v>
      </c>
    </row>
    <row r="9" spans="1:7" x14ac:dyDescent="0.25">
      <c r="A9" s="1">
        <v>36</v>
      </c>
      <c r="B9">
        <v>14</v>
      </c>
      <c r="C9">
        <v>1</v>
      </c>
      <c r="D9">
        <v>2</v>
      </c>
      <c r="E9">
        <f>SUM(A9*B9*C9/144*D9)</f>
        <v>7</v>
      </c>
      <c r="F9">
        <f>INDEX(RATE!B:B,MATCH(A9,RATE!A:A,0))</f>
        <v>52</v>
      </c>
      <c r="G9" s="5">
        <f>SUM(E9*F9)</f>
        <v>364</v>
      </c>
    </row>
    <row r="10" spans="1:7" x14ac:dyDescent="0.25">
      <c r="A10" s="1">
        <v>18</v>
      </c>
      <c r="B10">
        <v>14</v>
      </c>
      <c r="C10">
        <v>1</v>
      </c>
      <c r="D10">
        <v>2</v>
      </c>
      <c r="E10">
        <f>SUM(A10*B10*C10/144*D10)</f>
        <v>3.5</v>
      </c>
      <c r="F10">
        <f>INDEX(RATE!B:B,MATCH(A10,RATE!A:A,0))</f>
        <v>42</v>
      </c>
      <c r="G10" s="5">
        <f>SUM(E10*F10)</f>
        <v>147</v>
      </c>
    </row>
    <row r="11" spans="1:7" x14ac:dyDescent="0.25">
      <c r="A11" s="1">
        <v>18</v>
      </c>
      <c r="B11">
        <v>35</v>
      </c>
      <c r="C11">
        <v>0.5</v>
      </c>
      <c r="D11">
        <v>1</v>
      </c>
      <c r="E11">
        <f>SUM(A11*B11*C11/144*D11)</f>
        <v>2.1875</v>
      </c>
      <c r="F11">
        <f>INDEX(RATE!B:B,MATCH(A11,RATE!A:A,0))</f>
        <v>42</v>
      </c>
      <c r="G11" s="5">
        <f>SUM(E11*F11)</f>
        <v>91.875</v>
      </c>
    </row>
    <row r="12" spans="1:7" x14ac:dyDescent="0.25">
      <c r="A12" s="1">
        <v>35</v>
      </c>
      <c r="B12">
        <v>3</v>
      </c>
      <c r="C12">
        <v>1</v>
      </c>
      <c r="D12">
        <v>4</v>
      </c>
      <c r="E12">
        <f>SUM(A12*B12*C12/144*D12)</f>
        <v>2.9166666666666665</v>
      </c>
      <c r="F12">
        <f>INDEX(RATE!B:B,MATCH(A12,RATE!A:A,0))</f>
        <v>52</v>
      </c>
      <c r="G12" s="5">
        <f>SUM(E12*F12)</f>
        <v>151.66666666666666</v>
      </c>
    </row>
    <row r="13" spans="1:7" x14ac:dyDescent="0.25">
      <c r="A13" s="1">
        <v>6</v>
      </c>
      <c r="B13">
        <v>3</v>
      </c>
      <c r="C13">
        <v>3</v>
      </c>
      <c r="D13">
        <v>4</v>
      </c>
      <c r="E13">
        <f>SUM(A13*B13*C13/144*D13)</f>
        <v>1.5</v>
      </c>
      <c r="F13">
        <f>INDEX(RATE!B:B,MATCH(A13,RATE!A:A,0))</f>
        <v>42</v>
      </c>
      <c r="G13" s="5">
        <f>SUM(E13*F13)</f>
        <v>63</v>
      </c>
    </row>
    <row r="14" spans="1:7" x14ac:dyDescent="0.25">
      <c r="A14" s="1">
        <v>18</v>
      </c>
      <c r="B14">
        <v>3</v>
      </c>
      <c r="C14">
        <v>1</v>
      </c>
      <c r="D14">
        <v>2</v>
      </c>
      <c r="E14">
        <f>SUM(A14*B14*C14/144*D14)</f>
        <v>0.75</v>
      </c>
      <c r="F14">
        <f>INDEX(RATE!B:B,MATCH(A14,RATE!A:A,0))</f>
        <v>42</v>
      </c>
      <c r="G14" s="5">
        <f>SUM(E14*F14)</f>
        <v>31.5</v>
      </c>
    </row>
    <row r="15" spans="1:7" x14ac:dyDescent="0.25">
      <c r="A15" s="1" t="s">
        <v>140</v>
      </c>
      <c r="E15">
        <f>SUM(E8:E14)</f>
        <v>19.9375</v>
      </c>
      <c r="G15" s="5">
        <f>SUM(G8:G14)</f>
        <v>936.5416666666666</v>
      </c>
    </row>
    <row r="16" spans="1:7" x14ac:dyDescent="0.25">
      <c r="A16" s="1" t="s">
        <v>141</v>
      </c>
      <c r="E16" s="2">
        <f>+E15*0.2</f>
        <v>3.9875000000000003</v>
      </c>
      <c r="G16" s="5">
        <f>+G15*0.2</f>
        <v>187.30833333333334</v>
      </c>
    </row>
    <row r="17" spans="1:7" x14ac:dyDescent="0.25">
      <c r="A17" s="1" t="s">
        <v>142</v>
      </c>
      <c r="E17" s="5">
        <f>SUM(E15:E16)</f>
        <v>23.925</v>
      </c>
      <c r="G17" s="5">
        <f>SUM(G15:G16)</f>
        <v>1123.85</v>
      </c>
    </row>
    <row r="18" spans="1:7" x14ac:dyDescent="0.25">
      <c r="A18" s="1" t="s">
        <v>11</v>
      </c>
      <c r="G18" s="5">
        <f>INDEX('PRODUCT LIST'!L:L,MATCH(F2,'PRODUCT LIST'!C:C,0))</f>
        <v>400</v>
      </c>
    </row>
    <row r="19" spans="1:7" x14ac:dyDescent="0.25">
      <c r="A19" s="1" t="s">
        <v>143</v>
      </c>
      <c r="G19" s="5">
        <f>G17*8%</f>
        <v>89.908</v>
      </c>
    </row>
    <row r="20" spans="1:7" x14ac:dyDescent="0.25">
      <c r="A20" s="1" t="s">
        <v>139</v>
      </c>
      <c r="G20" s="5">
        <f>SUM(G17:G19)</f>
        <v>1613.7579999999998</v>
      </c>
    </row>
    <row r="21" spans="1:7" x14ac:dyDescent="0.25">
      <c r="A21" s="1" t="s">
        <v>144</v>
      </c>
      <c r="G21" s="5">
        <f>G20*10%</f>
        <v>161.3758</v>
      </c>
    </row>
    <row r="22" spans="1:7" x14ac:dyDescent="0.25">
      <c r="A22" s="1" t="s">
        <v>145</v>
      </c>
      <c r="G22" s="5">
        <f>G21+G20</f>
        <v>1775.1337999999998</v>
      </c>
    </row>
    <row r="23" spans="1:7" x14ac:dyDescent="0.25">
      <c r="A23" s="1" t="s">
        <v>146</v>
      </c>
      <c r="C23">
        <v>0</v>
      </c>
      <c r="D23" t="s">
        <v>147</v>
      </c>
      <c r="F23">
        <v>35</v>
      </c>
      <c r="G23" s="5">
        <f>C23*F23</f>
        <v>0</v>
      </c>
    </row>
    <row r="24" spans="1:7" x14ac:dyDescent="0.25">
      <c r="A24" s="1" t="s">
        <v>148</v>
      </c>
      <c r="C24">
        <v>0</v>
      </c>
      <c r="D24" t="s">
        <v>149</v>
      </c>
      <c r="F24">
        <v>180</v>
      </c>
      <c r="G24" s="5">
        <f>C24*F24</f>
        <v>0</v>
      </c>
    </row>
    <row r="25" spans="1:7" x14ac:dyDescent="0.25">
      <c r="A25" s="1" t="s">
        <v>150</v>
      </c>
      <c r="C25">
        <v>0</v>
      </c>
      <c r="D25" t="s">
        <v>151</v>
      </c>
      <c r="F25">
        <v>150</v>
      </c>
      <c r="G25" s="5">
        <f>C25*F25</f>
        <v>0</v>
      </c>
    </row>
    <row r="26" spans="1:7" x14ac:dyDescent="0.25">
      <c r="A26" s="1" t="s">
        <v>152</v>
      </c>
      <c r="C26">
        <v>0</v>
      </c>
      <c r="D26" t="s">
        <v>153</v>
      </c>
      <c r="F26">
        <v>2</v>
      </c>
      <c r="G26" s="5">
        <f>C26*F26</f>
        <v>0</v>
      </c>
    </row>
    <row r="27" spans="1:7" x14ac:dyDescent="0.25">
      <c r="A27" s="1" t="s">
        <v>154</v>
      </c>
      <c r="D27" t="s">
        <v>155</v>
      </c>
      <c r="E27" s="5">
        <f>E6</f>
        <v>0.19</v>
      </c>
      <c r="F27">
        <f>65/E27</f>
        <v>342.10526315789474</v>
      </c>
      <c r="G27" s="5">
        <f>350000/F27</f>
        <v>1023.0769230769231</v>
      </c>
    </row>
    <row r="28" spans="1:9" x14ac:dyDescent="0.25">
      <c r="A28" s="1" t="s">
        <v>139</v>
      </c>
      <c r="G28" s="5">
        <f>SUM(G22:G27)</f>
        <v>2798.210723076923</v>
      </c>
      <c r="H28" s="5">
        <f>+G28/78</f>
        <v>35.87449644970414</v>
      </c>
      <c r="I28" t="s">
        <v>156</v>
      </c>
    </row>
    <row r="29" spans="1:7" x14ac:dyDescent="0.25">
      <c r="A29" s="1" t="s">
        <v>157</v>
      </c>
      <c r="G29" s="5">
        <f>G28*15%</f>
        <v>419.7316084615384</v>
      </c>
    </row>
    <row r="30" spans="1:7" x14ac:dyDescent="0.25">
      <c r="A30" s="1" t="s">
        <v>158</v>
      </c>
      <c r="G30" s="5">
        <f>G28*15%</f>
        <v>419.7316084615384</v>
      </c>
    </row>
    <row r="31" spans="1:8" x14ac:dyDescent="0.25">
      <c r="A31" s="1" t="s">
        <v>139</v>
      </c>
      <c r="G31" s="5">
        <f>SUM(G28:G30)</f>
        <v>3637.6739399999997</v>
      </c>
      <c r="H31" s="5">
        <f>+G31/78</f>
        <v>46.63684538461538</v>
      </c>
    </row>
    <row r="32" spans="1:7" x14ac:dyDescent="0.25">
      <c r="A32" s="1" t="s">
        <v>159</v>
      </c>
      <c r="G32" s="5">
        <f>G31*0.2</f>
        <v>727.5347879999999</v>
      </c>
    </row>
    <row r="33" spans="1:9" x14ac:dyDescent="0.25">
      <c r="A33" s="1" t="s">
        <v>160</v>
      </c>
      <c r="G33" s="4">
        <f>G31+G32</f>
        <v>4365.208728</v>
      </c>
      <c r="H33" s="5">
        <f>+G33/78</f>
        <v>55.964214461538454</v>
      </c>
      <c r="I33" t="s">
        <v>156</v>
      </c>
    </row>
    <row r="34" spans="1:9" x14ac:dyDescent="0.25">
      <c r="A34" s="1" t="s">
        <v>161</v>
      </c>
      <c r="G34" s="4">
        <f>G20+G23+G24+G25+G26+G27+G29+G32</f>
        <v>3784.101319538461</v>
      </c>
      <c r="H34" s="5">
        <f>+G34/78</f>
        <v>48.51411948126232</v>
      </c>
      <c r="I34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LIST'!D24</f>
        <v>MARBLE TOP SIDE TABLE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LIST'!C24</f>
        <v>DF20023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50X50X55</v>
      </c>
      <c r="C4"/>
      <c r="D4"/>
    </row>
    <row r="5" spans="1:4" x14ac:dyDescent="0.25">
      <c r="A5" s="1" t="s">
        <v>6</v>
      </c>
      <c r="B5" t="str">
        <f>INDEX('PRODUCT LIST'!G:G,MATCH(F2,'PRODUCT LIST'!C:C,0))</f>
        <v>55X55X60</v>
      </c>
      <c r="C5"/>
      <c r="D5"/>
    </row>
    <row r="6" spans="1:7" x14ac:dyDescent="0.25">
      <c r="A6" s="1" t="s">
        <v>7</v>
      </c>
      <c r="B6">
        <v>55</v>
      </c>
      <c r="C6">
        <v>55</v>
      </c>
      <c r="D6">
        <v>60</v>
      </c>
      <c r="E6" s="2">
        <f>B6*C6*D6/1000000</f>
        <v>0.1815</v>
      </c>
      <c r="F6" s="4">
        <f>65/E6</f>
        <v>358.1267217630854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22</v>
      </c>
      <c r="B8">
        <v>22</v>
      </c>
      <c r="C8">
        <v>1</v>
      </c>
      <c r="D8">
        <v>1</v>
      </c>
      <c r="E8">
        <f>SUM(A8*B8*C8/144*D8)</f>
        <v>3.361111111111111</v>
      </c>
      <c r="F8">
        <f>INDEX(RATE!B:B,MATCH(A8,RATE!A:A,0))</f>
        <v>42</v>
      </c>
      <c r="G8" s="5">
        <f>SUM(E8*F8)</f>
        <v>141.16666666666666</v>
      </c>
    </row>
    <row r="9" spans="1:7" x14ac:dyDescent="0.25">
      <c r="A9" s="1">
        <v>22</v>
      </c>
      <c r="B9">
        <v>3</v>
      </c>
      <c r="C9">
        <v>3</v>
      </c>
      <c r="D9">
        <v>4</v>
      </c>
      <c r="E9">
        <f>SUM(A9*B9*C9/144*D9)</f>
        <v>5.5</v>
      </c>
      <c r="F9">
        <f>INDEX(RATE!B:B,MATCH(A9,RATE!A:A,0))</f>
        <v>42</v>
      </c>
      <c r="G9" s="5">
        <f>SUM(E9*F9)</f>
        <v>231</v>
      </c>
    </row>
    <row r="10" spans="1:7" x14ac:dyDescent="0.25">
      <c r="A10" s="1">
        <v>20</v>
      </c>
      <c r="B10">
        <v>4</v>
      </c>
      <c r="C10">
        <v>1</v>
      </c>
      <c r="D10">
        <v>2</v>
      </c>
      <c r="E10">
        <f>SUM(A10*B10*C10/144*D10)</f>
        <v>1.1111111111111112</v>
      </c>
      <c r="F10">
        <f>INDEX(RATE!B:B,MATCH(A10,RATE!A:A,0))</f>
        <v>42</v>
      </c>
      <c r="G10" s="5">
        <f>SUM(E10*F10)</f>
        <v>46.66666666666667</v>
      </c>
    </row>
    <row r="11" spans="1:7" x14ac:dyDescent="0.25">
      <c r="A11" s="1">
        <v>20</v>
      </c>
      <c r="B11">
        <v>4</v>
      </c>
      <c r="C11">
        <v>1</v>
      </c>
      <c r="D11">
        <v>2</v>
      </c>
      <c r="E11">
        <f>SUM(A11*B11*C11/144*D11)</f>
        <v>1.1111111111111112</v>
      </c>
      <c r="F11">
        <f>INDEX(RATE!B:B,MATCH(A11,RATE!A:A,0))</f>
        <v>42</v>
      </c>
      <c r="G11" s="5">
        <f>SUM(E11*F11)</f>
        <v>46.66666666666667</v>
      </c>
    </row>
    <row r="12" spans="1:7" x14ac:dyDescent="0.25">
      <c r="A12" s="1" t="s">
        <v>140</v>
      </c>
      <c r="E12">
        <f>SUM(E8:E11)</f>
        <v>11.083333333333332</v>
      </c>
      <c r="G12" s="5">
        <f>SUM(G8:G11)</f>
        <v>465.5</v>
      </c>
    </row>
    <row r="13" spans="1:7" x14ac:dyDescent="0.25">
      <c r="A13" s="1" t="s">
        <v>141</v>
      </c>
      <c r="E13" s="2">
        <f>+E12*0.2</f>
        <v>2.2166666666666663</v>
      </c>
      <c r="G13" s="5">
        <f>+G12*0.2</f>
        <v>93.10000000000001</v>
      </c>
    </row>
    <row r="14" spans="1:7" x14ac:dyDescent="0.25">
      <c r="A14" s="1" t="s">
        <v>142</v>
      </c>
      <c r="E14" s="5">
        <f>SUM(E12:E13)</f>
        <v>13.299999999999999</v>
      </c>
      <c r="G14" s="5">
        <f>SUM(G12:G13)</f>
        <v>558.6</v>
      </c>
    </row>
    <row r="15" spans="1:7" x14ac:dyDescent="0.25">
      <c r="A15" s="1" t="s">
        <v>11</v>
      </c>
      <c r="G15" s="5">
        <f>INDEX('PRODUCT LIST'!L:L,MATCH(F2,'PRODUCT LIST'!C:C,0))</f>
        <v>380</v>
      </c>
    </row>
    <row r="16" spans="1:7" x14ac:dyDescent="0.25">
      <c r="A16" s="1" t="s">
        <v>143</v>
      </c>
      <c r="G16" s="5">
        <f>G14*8%</f>
        <v>44.688</v>
      </c>
    </row>
    <row r="17" spans="1:7" x14ac:dyDescent="0.25">
      <c r="A17" s="1" t="s">
        <v>139</v>
      </c>
      <c r="G17" s="5">
        <f>SUM(G14:G16)</f>
        <v>983.288</v>
      </c>
    </row>
    <row r="18" spans="1:7" x14ac:dyDescent="0.25">
      <c r="A18" s="1" t="s">
        <v>144</v>
      </c>
      <c r="G18" s="5">
        <f>G17*10%</f>
        <v>98.3288</v>
      </c>
    </row>
    <row r="19" spans="1:7" x14ac:dyDescent="0.25">
      <c r="A19" s="1" t="s">
        <v>145</v>
      </c>
      <c r="G19" s="5">
        <f>G18+G17</f>
        <v>1081.6168</v>
      </c>
    </row>
    <row r="20" spans="1:7" x14ac:dyDescent="0.25">
      <c r="A20" s="1" t="s">
        <v>146</v>
      </c>
      <c r="C20">
        <v>0</v>
      </c>
      <c r="D20" t="s">
        <v>147</v>
      </c>
      <c r="F20">
        <v>35</v>
      </c>
      <c r="G20" s="5">
        <f>C20*F20</f>
        <v>0</v>
      </c>
    </row>
    <row r="21" spans="1:7" x14ac:dyDescent="0.25">
      <c r="A21" s="1" t="s">
        <v>148</v>
      </c>
      <c r="C21">
        <v>3</v>
      </c>
      <c r="D21" t="s">
        <v>149</v>
      </c>
      <c r="F21">
        <v>180</v>
      </c>
      <c r="G21" s="5">
        <f>C21*F21</f>
        <v>540</v>
      </c>
    </row>
    <row r="22" spans="1:7" x14ac:dyDescent="0.25">
      <c r="A22" s="1" t="s">
        <v>150</v>
      </c>
      <c r="C22">
        <v>0</v>
      </c>
      <c r="D22" t="s">
        <v>151</v>
      </c>
      <c r="F22">
        <v>150</v>
      </c>
      <c r="G22" s="5">
        <f>C22*F22</f>
        <v>0</v>
      </c>
    </row>
    <row r="23" spans="1:7" x14ac:dyDescent="0.25">
      <c r="A23" s="1" t="s">
        <v>152</v>
      </c>
      <c r="C23">
        <v>0</v>
      </c>
      <c r="D23" t="s">
        <v>153</v>
      </c>
      <c r="F23">
        <v>2</v>
      </c>
      <c r="G23" s="5">
        <f>C23*F23</f>
        <v>0</v>
      </c>
    </row>
    <row r="24" spans="1:7" x14ac:dyDescent="0.25">
      <c r="A24" s="1" t="s">
        <v>154</v>
      </c>
      <c r="D24" t="s">
        <v>155</v>
      </c>
      <c r="E24" s="5">
        <f>E6</f>
        <v>0.1815</v>
      </c>
      <c r="F24">
        <f>65/E24</f>
        <v>358.1267217630854</v>
      </c>
      <c r="G24" s="5">
        <f>350000/F24</f>
        <v>977.3076923076923</v>
      </c>
    </row>
    <row r="25" spans="1:9" x14ac:dyDescent="0.25">
      <c r="A25" s="1" t="s">
        <v>139</v>
      </c>
      <c r="G25" s="5">
        <f>SUM(G19:G24)</f>
        <v>2598.924492307692</v>
      </c>
      <c r="H25" s="5">
        <f>+G25/78</f>
        <v>33.319544773175544</v>
      </c>
      <c r="I25" t="s">
        <v>156</v>
      </c>
    </row>
    <row r="26" spans="1:7" x14ac:dyDescent="0.25">
      <c r="A26" s="1" t="s">
        <v>157</v>
      </c>
      <c r="G26" s="5">
        <f>G25*15%</f>
        <v>389.8386738461538</v>
      </c>
    </row>
    <row r="27" spans="1:7" x14ac:dyDescent="0.25">
      <c r="A27" s="1" t="s">
        <v>158</v>
      </c>
      <c r="G27" s="5">
        <f>G25*15%</f>
        <v>389.8386738461538</v>
      </c>
    </row>
    <row r="28" spans="1:8" x14ac:dyDescent="0.25">
      <c r="A28" s="1" t="s">
        <v>139</v>
      </c>
      <c r="G28" s="5">
        <f>SUM(G25:G27)</f>
        <v>3378.60184</v>
      </c>
      <c r="H28" s="5">
        <f>+G28/78</f>
        <v>43.3154082051282</v>
      </c>
    </row>
    <row r="29" spans="1:7" x14ac:dyDescent="0.25">
      <c r="A29" s="1" t="s">
        <v>159</v>
      </c>
      <c r="G29" s="5">
        <f>G28*0.2</f>
        <v>675.720368</v>
      </c>
    </row>
    <row r="30" spans="1:9" x14ac:dyDescent="0.25">
      <c r="A30" s="1" t="s">
        <v>160</v>
      </c>
      <c r="G30" s="4">
        <f>G28+G29</f>
        <v>4054.3222079999996</v>
      </c>
      <c r="H30" s="5">
        <f>+G30/78</f>
        <v>51.97848984615384</v>
      </c>
      <c r="I30" t="s">
        <v>156</v>
      </c>
    </row>
    <row r="31" spans="1:9" x14ac:dyDescent="0.25">
      <c r="A31" s="1" t="s">
        <v>161</v>
      </c>
      <c r="G31" s="4">
        <f>G17+G20+G21+G22+G23+G24+G26+G29</f>
        <v>3566.154734153846</v>
      </c>
      <c r="H31" s="5">
        <f>+G31/78</f>
        <v>45.71993248915187</v>
      </c>
      <c r="I31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22" style="1" customWidth="1"/>
    <col min="5" max="5" width="13" customWidth="1"/>
    <col min="7" max="7" width="22" customWidth="1"/>
    <col min="8" max="8" width="11" customWidth="1"/>
    <col min="9" max="9" width="6" customWidth="1"/>
  </cols>
  <sheetData>
    <row r="1" spans="1:7" x14ac:dyDescent="0.25">
      <c r="A1" s="1"/>
      <c r="B1" s="1"/>
      <c r="C1" s="1"/>
      <c r="D1" t="s">
        <v>3</v>
      </c>
      <c r="E1"/>
      <c r="F1" t="str">
        <f>'PRODUCT LIST'!D25</f>
        <v>SHOE CABINET 3 TIER</v>
      </c>
      <c r="G1"/>
    </row>
    <row r="2" spans="1:6" x14ac:dyDescent="0.25">
      <c r="A2" s="1"/>
      <c r="B2" s="1"/>
      <c r="C2" s="1"/>
      <c r="D2" t="s">
        <v>2</v>
      </c>
      <c r="E2"/>
      <c r="F2" t="str">
        <f>'PRODUCT LIST'!C25</f>
        <v>DF20024</v>
      </c>
    </row>
    <row r="3" spans="1:7" x14ac:dyDescent="0.25">
      <c r="A3" s="1"/>
      <c r="B3" t="s">
        <v>132</v>
      </c>
      <c r="C3" t="s">
        <v>133</v>
      </c>
      <c r="D3" t="s">
        <v>134</v>
      </c>
      <c r="E3" t="s">
        <v>7</v>
      </c>
      <c r="F3" t="s">
        <v>135</v>
      </c>
      <c r="G3"/>
    </row>
    <row r="4" spans="1:4" x14ac:dyDescent="0.25">
      <c r="A4" s="1" t="s">
        <v>136</v>
      </c>
      <c r="B4" t="str">
        <f>INDEX('PRODUCT LIST'!E:E,MATCH(F2,'PRODUCT LIST'!C:C,0))</f>
        <v>90X35X100</v>
      </c>
      <c r="C4"/>
      <c r="D4"/>
    </row>
    <row r="5" spans="1:4" x14ac:dyDescent="0.25">
      <c r="A5" s="1" t="s">
        <v>6</v>
      </c>
      <c r="B5" t="str">
        <f>INDEX('PRODUCT LIST'!G:G,MATCH(F2,'PRODUCT LIST'!C:C,0))</f>
        <v>95X40X105</v>
      </c>
      <c r="C5"/>
      <c r="D5"/>
    </row>
    <row r="6" spans="1:7" x14ac:dyDescent="0.25">
      <c r="A6" s="1" t="s">
        <v>7</v>
      </c>
      <c r="B6">
        <v>95</v>
      </c>
      <c r="C6">
        <v>40</v>
      </c>
      <c r="D6">
        <v>105</v>
      </c>
      <c r="E6" s="2">
        <f>B6*C6*D6/1000000</f>
        <v>0.399</v>
      </c>
      <c r="F6" s="4">
        <f>65/E6</f>
        <v>162.90726817042605</v>
      </c>
      <c r="G6" s="4"/>
    </row>
    <row r="7" spans="1:7" x14ac:dyDescent="0.25">
      <c r="A7" s="1" t="s">
        <v>132</v>
      </c>
      <c r="B7" t="s">
        <v>133</v>
      </c>
      <c r="C7" t="s">
        <v>134</v>
      </c>
      <c r="D7" t="s">
        <v>137</v>
      </c>
      <c r="E7" t="s">
        <v>138</v>
      </c>
      <c r="F7" t="s">
        <v>131</v>
      </c>
      <c r="G7" t="s">
        <v>139</v>
      </c>
    </row>
    <row r="8" spans="1:7" x14ac:dyDescent="0.25">
      <c r="A8" s="1">
        <v>37</v>
      </c>
      <c r="B8">
        <v>15</v>
      </c>
      <c r="C8">
        <v>1</v>
      </c>
      <c r="D8">
        <v>1</v>
      </c>
      <c r="E8">
        <f>SUM(A8*B8*C8/144*D8)</f>
        <v>3.8541666666666665</v>
      </c>
      <c r="F8">
        <f>INDEX(RATE!B:B,MATCH(A8,RATE!A:A,0))</f>
        <v>52</v>
      </c>
      <c r="G8" s="5">
        <f>SUM(E8*F8)</f>
        <v>200.41666666666666</v>
      </c>
    </row>
    <row r="9" spans="1:7" x14ac:dyDescent="0.25">
      <c r="A9" s="1">
        <v>40</v>
      </c>
      <c r="B9">
        <v>14</v>
      </c>
      <c r="C9">
        <v>1</v>
      </c>
      <c r="D9">
        <v>2</v>
      </c>
      <c r="E9">
        <f>SUM(A9*B9*C9/144*D9)</f>
        <v>7.777777777777778</v>
      </c>
      <c r="F9">
        <f>INDEX(RATE!B:B,MATCH(A9,RATE!A:A,0))</f>
        <v>52</v>
      </c>
      <c r="G9" s="5">
        <f>SUM(E9*F9)</f>
        <v>404.44444444444446</v>
      </c>
    </row>
    <row r="10" spans="1:7" x14ac:dyDescent="0.25">
      <c r="A10" s="1">
        <v>35</v>
      </c>
      <c r="B10">
        <v>14</v>
      </c>
      <c r="C10">
        <v>1</v>
      </c>
      <c r="D10">
        <v>2</v>
      </c>
      <c r="E10">
        <f>SUM(A10*B10*C10/144*D10)</f>
        <v>6.805555555555555</v>
      </c>
      <c r="F10">
        <f>INDEX(RATE!B:B,MATCH(A10,RATE!A:A,0))</f>
        <v>52</v>
      </c>
      <c r="G10" s="5">
        <f>SUM(E10*F10)</f>
        <v>353.88888888888886</v>
      </c>
    </row>
    <row r="11" spans="1:7" x14ac:dyDescent="0.25">
      <c r="A11" s="1">
        <v>35</v>
      </c>
      <c r="B11">
        <v>39</v>
      </c>
      <c r="C11">
        <v>0.5</v>
      </c>
      <c r="D11">
        <v>1</v>
      </c>
      <c r="E11">
        <f>SUM(A11*B11*C11/144*D11)</f>
        <v>4.739583333333333</v>
      </c>
      <c r="F11">
        <f>INDEX(RATE!B:B,MATCH(A11,RATE!A:A,0))</f>
        <v>52</v>
      </c>
      <c r="G11" s="5">
        <f>SUM(E11*F11)</f>
        <v>246.45833333333331</v>
      </c>
    </row>
    <row r="12" spans="1:7" x14ac:dyDescent="0.25">
      <c r="A12" s="1">
        <v>39</v>
      </c>
      <c r="B12">
        <v>3</v>
      </c>
      <c r="C12">
        <v>1</v>
      </c>
      <c r="D12">
        <v>4</v>
      </c>
      <c r="E12">
        <f>SUM(A12*B12*C12/144*D12)</f>
        <v>3.25</v>
      </c>
      <c r="F12">
        <f>INDEX(RATE!B:B,MATCH(A12,RATE!A:A,0))</f>
        <v>52</v>
      </c>
      <c r="G12" s="5">
        <f>SUM(E12*F12)</f>
        <v>169</v>
      </c>
    </row>
    <row r="13" spans="1:7" x14ac:dyDescent="0.25">
      <c r="A13" s="1">
        <v>6</v>
      </c>
      <c r="B13">
        <v>3</v>
      </c>
      <c r="C13">
        <v>3</v>
      </c>
      <c r="D13">
        <v>4</v>
      </c>
      <c r="E13">
        <f>SUM(A13*B13*C13/144*D13)</f>
        <v>1.5</v>
      </c>
      <c r="F13">
        <f>INDEX(RATE!B:B,MATCH(A13,RATE!A:A,0))</f>
        <v>42</v>
      </c>
      <c r="G13" s="5">
        <f>SUM(E13*F13)</f>
        <v>63</v>
      </c>
    </row>
    <row r="14" spans="1:7" x14ac:dyDescent="0.25">
      <c r="A14" s="1">
        <v>35</v>
      </c>
      <c r="B14">
        <v>3</v>
      </c>
      <c r="C14">
        <v>1</v>
      </c>
      <c r="D14">
        <v>2</v>
      </c>
      <c r="E14">
        <f>SUM(A14*B14*C14/144*D14)</f>
        <v>1.4583333333333333</v>
      </c>
      <c r="F14">
        <f>INDEX(RATE!B:B,MATCH(A14,RATE!A:A,0))</f>
        <v>52</v>
      </c>
      <c r="G14" s="5">
        <f>SUM(E14*F14)</f>
        <v>75.83333333333333</v>
      </c>
    </row>
    <row r="15" spans="1:7" x14ac:dyDescent="0.25">
      <c r="A15" s="1" t="s">
        <v>140</v>
      </c>
      <c r="E15">
        <f>SUM(E8:E14)</f>
        <v>29.385416666666664</v>
      </c>
      <c r="G15" s="5">
        <f>SUM(G8:G14)</f>
        <v>1513.0416666666665</v>
      </c>
    </row>
    <row r="16" spans="1:7" x14ac:dyDescent="0.25">
      <c r="A16" s="1" t="s">
        <v>141</v>
      </c>
      <c r="E16" s="2">
        <f>+E15*0.2</f>
        <v>5.877083333333333</v>
      </c>
      <c r="G16" s="5">
        <f>+G15*0.2</f>
        <v>302.6083333333333</v>
      </c>
    </row>
    <row r="17" spans="1:7" x14ac:dyDescent="0.25">
      <c r="A17" s="1" t="s">
        <v>142</v>
      </c>
      <c r="E17" s="5">
        <f>SUM(E15:E16)</f>
        <v>35.262499999999996</v>
      </c>
      <c r="G17" s="5">
        <f>SUM(G15:G16)</f>
        <v>1815.6499999999999</v>
      </c>
    </row>
    <row r="18" spans="1:7" x14ac:dyDescent="0.25">
      <c r="A18" s="1" t="s">
        <v>11</v>
      </c>
      <c r="G18" s="5">
        <f>INDEX('PRODUCT LIST'!L:L,MATCH(F2,'PRODUCT LIST'!C:C,0))</f>
        <v>650</v>
      </c>
    </row>
    <row r="19" spans="1:7" x14ac:dyDescent="0.25">
      <c r="A19" s="1" t="s">
        <v>143</v>
      </c>
      <c r="G19" s="5">
        <f>G17*8%</f>
        <v>145.25199999999998</v>
      </c>
    </row>
    <row r="20" spans="1:7" x14ac:dyDescent="0.25">
      <c r="A20" s="1" t="s">
        <v>139</v>
      </c>
      <c r="G20" s="5">
        <f>SUM(G17:G19)</f>
        <v>2610.9019999999996</v>
      </c>
    </row>
    <row r="21" spans="1:7" x14ac:dyDescent="0.25">
      <c r="A21" s="1" t="s">
        <v>144</v>
      </c>
      <c r="G21" s="5">
        <f>G20*10%</f>
        <v>261.0902</v>
      </c>
    </row>
    <row r="22" spans="1:7" x14ac:dyDescent="0.25">
      <c r="A22" s="1" t="s">
        <v>145</v>
      </c>
      <c r="G22" s="5">
        <f>G21+G20</f>
        <v>2871.9921999999997</v>
      </c>
    </row>
    <row r="23" spans="1:7" x14ac:dyDescent="0.25">
      <c r="A23" s="1" t="s">
        <v>146</v>
      </c>
      <c r="C23">
        <v>2</v>
      </c>
      <c r="D23" t="s">
        <v>147</v>
      </c>
      <c r="F23">
        <v>35</v>
      </c>
      <c r="G23" s="5">
        <f>C23*F23</f>
        <v>70</v>
      </c>
    </row>
    <row r="24" spans="1:7" x14ac:dyDescent="0.25">
      <c r="A24" s="1" t="s">
        <v>148</v>
      </c>
      <c r="C24">
        <v>0</v>
      </c>
      <c r="D24" t="s">
        <v>149</v>
      </c>
      <c r="F24">
        <v>180</v>
      </c>
      <c r="G24" s="5">
        <f>C24*F24</f>
        <v>0</v>
      </c>
    </row>
    <row r="25" spans="1:7" x14ac:dyDescent="0.25">
      <c r="A25" s="1" t="s">
        <v>150</v>
      </c>
      <c r="C25">
        <v>0</v>
      </c>
      <c r="D25" t="s">
        <v>151</v>
      </c>
      <c r="F25">
        <v>150</v>
      </c>
      <c r="G25" s="5">
        <f>C25*F25</f>
        <v>0</v>
      </c>
    </row>
    <row r="26" spans="1:7" x14ac:dyDescent="0.25">
      <c r="A26" s="1" t="s">
        <v>152</v>
      </c>
      <c r="C26">
        <v>0</v>
      </c>
      <c r="D26" t="s">
        <v>153</v>
      </c>
      <c r="F26">
        <v>2</v>
      </c>
      <c r="G26" s="5">
        <f>C26*F26</f>
        <v>0</v>
      </c>
    </row>
    <row r="27" spans="1:7" x14ac:dyDescent="0.25">
      <c r="A27" s="1" t="s">
        <v>154</v>
      </c>
      <c r="D27" t="s">
        <v>155</v>
      </c>
      <c r="E27" s="5">
        <f>E6</f>
        <v>0.399</v>
      </c>
      <c r="F27">
        <f>65/E27</f>
        <v>162.90726817042605</v>
      </c>
      <c r="G27" s="5">
        <f>350000/F27</f>
        <v>2148.4615384615386</v>
      </c>
    </row>
    <row r="28" spans="1:9" x14ac:dyDescent="0.25">
      <c r="A28" s="1" t="s">
        <v>139</v>
      </c>
      <c r="G28" s="5">
        <f>SUM(G22:G27)</f>
        <v>5090.453738461538</v>
      </c>
      <c r="H28" s="5">
        <f>+G28/78</f>
        <v>65.26222741617356</v>
      </c>
      <c r="I28" t="s">
        <v>156</v>
      </c>
    </row>
    <row r="29" spans="1:7" x14ac:dyDescent="0.25">
      <c r="A29" s="1" t="s">
        <v>157</v>
      </c>
      <c r="G29" s="5">
        <f>G28*15%</f>
        <v>763.5680607692307</v>
      </c>
    </row>
    <row r="30" spans="1:7" x14ac:dyDescent="0.25">
      <c r="A30" s="1" t="s">
        <v>158</v>
      </c>
      <c r="G30" s="5">
        <f>G28*15%</f>
        <v>763.5680607692307</v>
      </c>
    </row>
    <row r="31" spans="1:8" x14ac:dyDescent="0.25">
      <c r="A31" s="1" t="s">
        <v>139</v>
      </c>
      <c r="G31" s="5">
        <f>SUM(G28:G30)</f>
        <v>6617.589859999999</v>
      </c>
      <c r="H31" s="5">
        <f>+G31/78</f>
        <v>84.84089564102563</v>
      </c>
    </row>
    <row r="32" spans="1:7" x14ac:dyDescent="0.25">
      <c r="A32" s="1" t="s">
        <v>159</v>
      </c>
      <c r="G32" s="5">
        <f>G31*0.2</f>
        <v>1323.5179719999999</v>
      </c>
    </row>
    <row r="33" spans="1:9" x14ac:dyDescent="0.25">
      <c r="A33" s="1" t="s">
        <v>160</v>
      </c>
      <c r="G33" s="4">
        <f>G31+G32</f>
        <v>7941.107831999999</v>
      </c>
      <c r="H33" s="5">
        <f>+G33/78</f>
        <v>101.80907476923075</v>
      </c>
      <c r="I33" t="s">
        <v>156</v>
      </c>
    </row>
    <row r="34" spans="1:9" x14ac:dyDescent="0.25">
      <c r="A34" s="1" t="s">
        <v>161</v>
      </c>
      <c r="G34" s="4">
        <f>G20+G23+G24+G25+G26+G27+G29+G32</f>
        <v>6916.449571230769</v>
      </c>
      <c r="H34" s="5">
        <f>+G34/78</f>
        <v>88.67243040039448</v>
      </c>
      <c r="I34" t="s">
        <v>156</v>
      </c>
    </row>
  </sheetData>
  <mergeCells count="8">
    <mergeCell ref="A1:C2"/>
    <mergeCell ref="D1:E1"/>
    <mergeCell ref="F1:G1"/>
    <mergeCell ref="D2:E2"/>
    <mergeCell ref="F3:G3"/>
    <mergeCell ref="B4:D4"/>
    <mergeCell ref="B5:D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PRODUCT LIST</vt:lpstr>
      <vt:lpstr>RATE</vt:lpstr>
      <vt:lpstr>DF20001</vt:lpstr>
      <vt:lpstr>DF20002</vt:lpstr>
      <vt:lpstr>DF20003</vt:lpstr>
      <vt:lpstr>DF20004</vt:lpstr>
      <vt:lpstr>DF20005</vt:lpstr>
      <vt:lpstr>DF20006</vt:lpstr>
      <vt:lpstr>DF20007</vt:lpstr>
      <vt:lpstr>DF20008</vt:lpstr>
      <vt:lpstr>DF20009</vt:lpstr>
      <vt:lpstr>DF20010</vt:lpstr>
      <vt:lpstr>DF20011</vt:lpstr>
      <vt:lpstr>DF20012</vt:lpstr>
      <vt:lpstr>DF20013</vt:lpstr>
      <vt:lpstr>DF20014</vt:lpstr>
      <vt:lpstr>DF20015</vt:lpstr>
      <vt:lpstr>DF20016</vt:lpstr>
      <vt:lpstr>DF20017</vt:lpstr>
      <vt:lpstr>DF20018</vt:lpstr>
      <vt:lpstr>DF20019</vt:lpstr>
      <vt:lpstr>DF20020</vt:lpstr>
      <vt:lpstr>DF20021</vt:lpstr>
      <vt:lpstr>DF20022</vt:lpstr>
      <vt:lpstr>DF20023</vt:lpstr>
      <vt:lpstr>DF20024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2026-10-23T07:03:31Z</dcterms:created>
  <dcterms:modified xsi:type="dcterms:W3CDTF">2026-10-23T07:03:31Z</dcterms:modified>
</cp:coreProperties>
</file>